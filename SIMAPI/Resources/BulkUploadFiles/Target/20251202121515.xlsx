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b6e0c9775cadd23/Documents/"/>
    </mc:Choice>
  </mc:AlternateContent>
  <xr:revisionPtr revIDLastSave="4" documentId="8_{5B89102B-3671-480F-89AD-9D93B40B1D12}" xr6:coauthVersionLast="47" xr6:coauthVersionMax="47" xr10:uidLastSave="{61DCBF3F-9B47-45F4-85E7-00D0FE524561}"/>
  <bookViews>
    <workbookView xWindow="-108" yWindow="-108" windowWidth="23256" windowHeight="1389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2" i="2" l="1"/>
  <c r="D62" i="2"/>
  <c r="F61" i="2"/>
  <c r="I61" i="2" s="1"/>
  <c r="F60" i="2"/>
  <c r="I60" i="2" s="1"/>
  <c r="F59" i="2"/>
  <c r="I59" i="2" s="1"/>
  <c r="F58" i="2"/>
  <c r="I58" i="2" s="1"/>
  <c r="F57" i="2"/>
  <c r="I57" i="2" s="1"/>
  <c r="F56" i="2"/>
  <c r="I56" i="2" s="1"/>
  <c r="F55" i="2"/>
  <c r="I55" i="2" s="1"/>
  <c r="F54" i="2"/>
  <c r="I54" i="2" s="1"/>
  <c r="F53" i="2"/>
  <c r="H53" i="2" s="1"/>
  <c r="F52" i="2"/>
  <c r="I52" i="2" s="1"/>
  <c r="F51" i="2"/>
  <c r="I51" i="2" s="1"/>
  <c r="F50" i="2"/>
  <c r="H50" i="2" s="1"/>
  <c r="F49" i="2"/>
  <c r="H49" i="2" s="1"/>
  <c r="F48" i="2"/>
  <c r="I48" i="2" s="1"/>
  <c r="F47" i="2"/>
  <c r="H47" i="2" s="1"/>
  <c r="F46" i="2"/>
  <c r="I46" i="2" s="1"/>
  <c r="F45" i="2"/>
  <c r="H45" i="2" s="1"/>
  <c r="F44" i="2"/>
  <c r="I44" i="2" s="1"/>
  <c r="F43" i="2"/>
  <c r="H43" i="2" s="1"/>
  <c r="F42" i="2"/>
  <c r="H42" i="2" s="1"/>
  <c r="F41" i="2"/>
  <c r="H41" i="2" s="1"/>
  <c r="F40" i="2"/>
  <c r="I40" i="2" s="1"/>
  <c r="F39" i="2"/>
  <c r="H39" i="2" s="1"/>
  <c r="F38" i="2"/>
  <c r="H38" i="2" s="1"/>
  <c r="F37" i="2"/>
  <c r="I37" i="2" s="1"/>
  <c r="F36" i="2"/>
  <c r="I36" i="2" s="1"/>
  <c r="F35" i="2"/>
  <c r="I35" i="2" s="1"/>
  <c r="F34" i="2"/>
  <c r="I34" i="2" s="1"/>
  <c r="F33" i="2"/>
  <c r="I33" i="2" s="1"/>
  <c r="F32" i="2"/>
  <c r="I32" i="2" s="1"/>
  <c r="F31" i="2"/>
  <c r="I31" i="2" s="1"/>
  <c r="F30" i="2"/>
  <c r="I30" i="2" s="1"/>
  <c r="F29" i="2"/>
  <c r="I29" i="2" s="1"/>
  <c r="F28" i="2"/>
  <c r="I28" i="2" s="1"/>
  <c r="F27" i="2"/>
  <c r="I27" i="2" s="1"/>
  <c r="F26" i="2"/>
  <c r="I26" i="2" s="1"/>
  <c r="F25" i="2"/>
  <c r="H25" i="2" s="1"/>
  <c r="F24" i="2"/>
  <c r="H24" i="2" s="1"/>
  <c r="F23" i="2"/>
  <c r="H23" i="2" s="1"/>
  <c r="F22" i="2"/>
  <c r="H22" i="2" s="1"/>
  <c r="F21" i="2"/>
  <c r="I21" i="2" s="1"/>
  <c r="F20" i="2"/>
  <c r="H20" i="2" s="1"/>
  <c r="F19" i="2"/>
  <c r="H19" i="2" s="1"/>
  <c r="F18" i="2"/>
  <c r="I18" i="2" s="1"/>
  <c r="F17" i="2"/>
  <c r="I17" i="2" s="1"/>
  <c r="F16" i="2"/>
  <c r="I16" i="2" s="1"/>
  <c r="F15" i="2"/>
  <c r="H15" i="2" s="1"/>
  <c r="F14" i="2"/>
  <c r="H14" i="2" s="1"/>
  <c r="F13" i="2"/>
  <c r="I13" i="2" s="1"/>
  <c r="F12" i="2"/>
  <c r="H12" i="2" s="1"/>
  <c r="F11" i="2"/>
  <c r="H11" i="2" s="1"/>
  <c r="F10" i="2"/>
  <c r="H10" i="2" s="1"/>
  <c r="F9" i="2"/>
  <c r="I9" i="2" s="1"/>
  <c r="F8" i="2"/>
  <c r="I8" i="2" s="1"/>
  <c r="F7" i="2"/>
  <c r="I7" i="2" s="1"/>
  <c r="F6" i="2"/>
  <c r="I6" i="2" s="1"/>
  <c r="F5" i="2"/>
  <c r="I5" i="2" s="1"/>
  <c r="F4" i="2"/>
  <c r="H4" i="2" s="1"/>
  <c r="F3" i="2"/>
  <c r="H3" i="2" s="1"/>
  <c r="F2" i="2"/>
  <c r="H2" i="2" s="1"/>
  <c r="R61" i="2"/>
  <c r="U61" i="2" s="1"/>
  <c r="N61" i="2"/>
  <c r="Q61" i="2" s="1"/>
  <c r="J61" i="2"/>
  <c r="M61" i="2" s="1"/>
  <c r="R60" i="2"/>
  <c r="U60" i="2" s="1"/>
  <c r="N60" i="2"/>
  <c r="Q60" i="2" s="1"/>
  <c r="J60" i="2"/>
  <c r="M60" i="2" s="1"/>
  <c r="R59" i="2"/>
  <c r="U59" i="2" s="1"/>
  <c r="W59" i="2" s="1"/>
  <c r="N59" i="2"/>
  <c r="Q59" i="2" s="1"/>
  <c r="J59" i="2"/>
  <c r="M59" i="2" s="1"/>
  <c r="R58" i="2"/>
  <c r="T58" i="2" s="1"/>
  <c r="N58" i="2"/>
  <c r="P58" i="2" s="1"/>
  <c r="J58" i="2"/>
  <c r="L58" i="2" s="1"/>
  <c r="R57" i="2"/>
  <c r="U57" i="2" s="1"/>
  <c r="W57" i="2" s="1"/>
  <c r="N57" i="2"/>
  <c r="Q57" i="2" s="1"/>
  <c r="J57" i="2"/>
  <c r="M57" i="2" s="1"/>
  <c r="R56" i="2"/>
  <c r="U56" i="2" s="1"/>
  <c r="W56" i="2" s="1"/>
  <c r="N56" i="2"/>
  <c r="Q56" i="2" s="1"/>
  <c r="J56" i="2"/>
  <c r="L56" i="2" s="1"/>
  <c r="R55" i="2"/>
  <c r="U55" i="2" s="1"/>
  <c r="W55" i="2" s="1"/>
  <c r="N55" i="2"/>
  <c r="Q55" i="2" s="1"/>
  <c r="J55" i="2"/>
  <c r="M55" i="2" s="1"/>
  <c r="R54" i="2"/>
  <c r="U54" i="2" s="1"/>
  <c r="W54" i="2" s="1"/>
  <c r="N54" i="2"/>
  <c r="Q54" i="2" s="1"/>
  <c r="J54" i="2"/>
  <c r="M54" i="2" s="1"/>
  <c r="R53" i="2"/>
  <c r="U53" i="2" s="1"/>
  <c r="W53" i="2" s="1"/>
  <c r="N53" i="2"/>
  <c r="Q53" i="2" s="1"/>
  <c r="J53" i="2"/>
  <c r="L53" i="2" s="1"/>
  <c r="R52" i="2"/>
  <c r="U52" i="2" s="1"/>
  <c r="W52" i="2" s="1"/>
  <c r="N52" i="2"/>
  <c r="Q52" i="2" s="1"/>
  <c r="J52" i="2"/>
  <c r="M52" i="2" s="1"/>
  <c r="R51" i="2"/>
  <c r="U51" i="2" s="1"/>
  <c r="W51" i="2" s="1"/>
  <c r="N51" i="2"/>
  <c r="Q51" i="2" s="1"/>
  <c r="J51" i="2"/>
  <c r="M51" i="2" s="1"/>
  <c r="R50" i="2"/>
  <c r="U50" i="2" s="1"/>
  <c r="W50" i="2" s="1"/>
  <c r="N50" i="2"/>
  <c r="Q50" i="2" s="1"/>
  <c r="J50" i="2"/>
  <c r="M50" i="2" s="1"/>
  <c r="R49" i="2"/>
  <c r="T49" i="2" s="1"/>
  <c r="N49" i="2"/>
  <c r="Q49" i="2" s="1"/>
  <c r="J49" i="2"/>
  <c r="M49" i="2" s="1"/>
  <c r="R48" i="2"/>
  <c r="U48" i="2" s="1"/>
  <c r="W48" i="2" s="1"/>
  <c r="N48" i="2"/>
  <c r="P48" i="2" s="1"/>
  <c r="J48" i="2"/>
  <c r="M48" i="2" s="1"/>
  <c r="R47" i="2"/>
  <c r="U47" i="2" s="1"/>
  <c r="W47" i="2" s="1"/>
  <c r="N47" i="2"/>
  <c r="Q47" i="2" s="1"/>
  <c r="J47" i="2"/>
  <c r="M47" i="2" s="1"/>
  <c r="R46" i="2"/>
  <c r="U46" i="2" s="1"/>
  <c r="W46" i="2" s="1"/>
  <c r="N46" i="2"/>
  <c r="P46" i="2" s="1"/>
  <c r="J46" i="2"/>
  <c r="M46" i="2" s="1"/>
  <c r="R45" i="2"/>
  <c r="T45" i="2" s="1"/>
  <c r="N45" i="2"/>
  <c r="Q45" i="2" s="1"/>
  <c r="J45" i="2"/>
  <c r="M45" i="2" s="1"/>
  <c r="R44" i="2"/>
  <c r="T44" i="2" s="1"/>
  <c r="N44" i="2"/>
  <c r="P44" i="2" s="1"/>
  <c r="J44" i="2"/>
  <c r="M44" i="2" s="1"/>
  <c r="R43" i="2"/>
  <c r="U43" i="2" s="1"/>
  <c r="W43" i="2" s="1"/>
  <c r="N43" i="2"/>
  <c r="P43" i="2" s="1"/>
  <c r="J43" i="2"/>
  <c r="L43" i="2" s="1"/>
  <c r="R42" i="2"/>
  <c r="U42" i="2" s="1"/>
  <c r="W42" i="2" s="1"/>
  <c r="N42" i="2"/>
  <c r="Q42" i="2" s="1"/>
  <c r="J42" i="2"/>
  <c r="M42" i="2" s="1"/>
  <c r="R41" i="2"/>
  <c r="U41" i="2" s="1"/>
  <c r="W41" i="2" s="1"/>
  <c r="N41" i="2"/>
  <c r="Q41" i="2" s="1"/>
  <c r="J41" i="2"/>
  <c r="M41" i="2" s="1"/>
  <c r="R40" i="2"/>
  <c r="U40" i="2" s="1"/>
  <c r="W40" i="2" s="1"/>
  <c r="N40" i="2"/>
  <c r="Q40" i="2" s="1"/>
  <c r="J40" i="2"/>
  <c r="M40" i="2" s="1"/>
  <c r="R39" i="2"/>
  <c r="T39" i="2" s="1"/>
  <c r="N39" i="2"/>
  <c r="Q39" i="2" s="1"/>
  <c r="J39" i="2"/>
  <c r="M39" i="2" s="1"/>
  <c r="R38" i="2"/>
  <c r="U38" i="2" s="1"/>
  <c r="W38" i="2" s="1"/>
  <c r="N38" i="2"/>
  <c r="P38" i="2" s="1"/>
  <c r="J38" i="2"/>
  <c r="M38" i="2" s="1"/>
  <c r="R37" i="2"/>
  <c r="T37" i="2" s="1"/>
  <c r="N37" i="2"/>
  <c r="Q37" i="2" s="1"/>
  <c r="J37" i="2"/>
  <c r="L37" i="2" s="1"/>
  <c r="R36" i="2"/>
  <c r="U36" i="2" s="1"/>
  <c r="W36" i="2" s="1"/>
  <c r="N36" i="2"/>
  <c r="Q36" i="2" s="1"/>
  <c r="J36" i="2"/>
  <c r="M36" i="2" s="1"/>
  <c r="R35" i="2"/>
  <c r="U35" i="2" s="1"/>
  <c r="W35" i="2" s="1"/>
  <c r="N35" i="2"/>
  <c r="Q35" i="2" s="1"/>
  <c r="J35" i="2"/>
  <c r="M35" i="2" s="1"/>
  <c r="R34" i="2"/>
  <c r="T34" i="2" s="1"/>
  <c r="N34" i="2"/>
  <c r="Q34" i="2" s="1"/>
  <c r="J34" i="2"/>
  <c r="M34" i="2" s="1"/>
  <c r="R33" i="2"/>
  <c r="U33" i="2" s="1"/>
  <c r="W33" i="2" s="1"/>
  <c r="N33" i="2"/>
  <c r="Q33" i="2" s="1"/>
  <c r="J33" i="2"/>
  <c r="M33" i="2" s="1"/>
  <c r="R32" i="2"/>
  <c r="T32" i="2" s="1"/>
  <c r="N32" i="2"/>
  <c r="Q32" i="2" s="1"/>
  <c r="J32" i="2"/>
  <c r="L32" i="2" s="1"/>
  <c r="R31" i="2"/>
  <c r="U31" i="2" s="1"/>
  <c r="W31" i="2" s="1"/>
  <c r="N31" i="2"/>
  <c r="P31" i="2" s="1"/>
  <c r="J31" i="2"/>
  <c r="M31" i="2" s="1"/>
  <c r="R30" i="2"/>
  <c r="T30" i="2" s="1"/>
  <c r="N30" i="2"/>
  <c r="Q30" i="2" s="1"/>
  <c r="J30" i="2"/>
  <c r="L30" i="2" s="1"/>
  <c r="R29" i="2"/>
  <c r="U29" i="2" s="1"/>
  <c r="W29" i="2" s="1"/>
  <c r="N29" i="2"/>
  <c r="Q29" i="2" s="1"/>
  <c r="J29" i="2"/>
  <c r="M29" i="2" s="1"/>
  <c r="R28" i="2"/>
  <c r="U28" i="2" s="1"/>
  <c r="W28" i="2" s="1"/>
  <c r="N28" i="2"/>
  <c r="P28" i="2" s="1"/>
  <c r="J28" i="2"/>
  <c r="M28" i="2" s="1"/>
  <c r="R27" i="2"/>
  <c r="U27" i="2" s="1"/>
  <c r="W27" i="2" s="1"/>
  <c r="N27" i="2"/>
  <c r="Q27" i="2" s="1"/>
  <c r="J27" i="2"/>
  <c r="M27" i="2" s="1"/>
  <c r="R26" i="2"/>
  <c r="U26" i="2" s="1"/>
  <c r="W26" i="2" s="1"/>
  <c r="N26" i="2"/>
  <c r="Q26" i="2" s="1"/>
  <c r="J26" i="2"/>
  <c r="M26" i="2" s="1"/>
  <c r="R25" i="2"/>
  <c r="U25" i="2" s="1"/>
  <c r="W25" i="2" s="1"/>
  <c r="N25" i="2"/>
  <c r="P25" i="2" s="1"/>
  <c r="J25" i="2"/>
  <c r="L25" i="2" s="1"/>
  <c r="R24" i="2"/>
  <c r="T24" i="2" s="1"/>
  <c r="N24" i="2"/>
  <c r="Q24" i="2" s="1"/>
  <c r="J24" i="2"/>
  <c r="M24" i="2" s="1"/>
  <c r="R23" i="2"/>
  <c r="U23" i="2" s="1"/>
  <c r="W23" i="2" s="1"/>
  <c r="N23" i="2"/>
  <c r="P23" i="2" s="1"/>
  <c r="J23" i="2"/>
  <c r="M23" i="2" s="1"/>
  <c r="R22" i="2"/>
  <c r="T22" i="2" s="1"/>
  <c r="N22" i="2"/>
  <c r="Q22" i="2" s="1"/>
  <c r="J22" i="2"/>
  <c r="M22" i="2" s="1"/>
  <c r="R21" i="2"/>
  <c r="U21" i="2" s="1"/>
  <c r="W21" i="2" s="1"/>
  <c r="N21" i="2"/>
  <c r="Q21" i="2" s="1"/>
  <c r="J21" i="2"/>
  <c r="M21" i="2" s="1"/>
  <c r="R20" i="2"/>
  <c r="U20" i="2" s="1"/>
  <c r="W20" i="2" s="1"/>
  <c r="N20" i="2"/>
  <c r="Q20" i="2" s="1"/>
  <c r="J20" i="2"/>
  <c r="L20" i="2" s="1"/>
  <c r="R19" i="2"/>
  <c r="U19" i="2" s="1"/>
  <c r="W19" i="2" s="1"/>
  <c r="N19" i="2"/>
  <c r="Q19" i="2" s="1"/>
  <c r="J19" i="2"/>
  <c r="M19" i="2" s="1"/>
  <c r="R18" i="2"/>
  <c r="U18" i="2" s="1"/>
  <c r="W18" i="2" s="1"/>
  <c r="N18" i="2"/>
  <c r="P18" i="2" s="1"/>
  <c r="J18" i="2"/>
  <c r="M18" i="2" s="1"/>
  <c r="R17" i="2"/>
  <c r="U17" i="2" s="1"/>
  <c r="W17" i="2" s="1"/>
  <c r="N17" i="2"/>
  <c r="Q17" i="2" s="1"/>
  <c r="J17" i="2"/>
  <c r="L17" i="2" s="1"/>
  <c r="R16" i="2"/>
  <c r="U16" i="2" s="1"/>
  <c r="W16" i="2" s="1"/>
  <c r="N16" i="2"/>
  <c r="P16" i="2" s="1"/>
  <c r="J16" i="2"/>
  <c r="M16" i="2" s="1"/>
  <c r="R15" i="2"/>
  <c r="T15" i="2" s="1"/>
  <c r="N15" i="2"/>
  <c r="Q15" i="2" s="1"/>
  <c r="J15" i="2"/>
  <c r="L15" i="2" s="1"/>
  <c r="R14" i="2"/>
  <c r="T14" i="2" s="1"/>
  <c r="N14" i="2"/>
  <c r="Q14" i="2" s="1"/>
  <c r="J14" i="2"/>
  <c r="M14" i="2" s="1"/>
  <c r="R13" i="2"/>
  <c r="U13" i="2" s="1"/>
  <c r="W13" i="2" s="1"/>
  <c r="N13" i="2"/>
  <c r="Q13" i="2" s="1"/>
  <c r="J13" i="2"/>
  <c r="M13" i="2" s="1"/>
  <c r="R12" i="2"/>
  <c r="U12" i="2" s="1"/>
  <c r="W12" i="2" s="1"/>
  <c r="N12" i="2"/>
  <c r="Q12" i="2" s="1"/>
  <c r="J12" i="2"/>
  <c r="L12" i="2" s="1"/>
  <c r="R11" i="2"/>
  <c r="U11" i="2" s="1"/>
  <c r="W11" i="2" s="1"/>
  <c r="N11" i="2"/>
  <c r="Q11" i="2" s="1"/>
  <c r="J11" i="2"/>
  <c r="M11" i="2" s="1"/>
  <c r="R10" i="2"/>
  <c r="T10" i="2" s="1"/>
  <c r="N10" i="2"/>
  <c r="P10" i="2" s="1"/>
  <c r="J10" i="2"/>
  <c r="M10" i="2" s="1"/>
  <c r="R9" i="2"/>
  <c r="U9" i="2" s="1"/>
  <c r="W9" i="2" s="1"/>
  <c r="N9" i="2"/>
  <c r="P9" i="2" s="1"/>
  <c r="J9" i="2"/>
  <c r="M9" i="2" s="1"/>
  <c r="R8" i="2"/>
  <c r="T8" i="2" s="1"/>
  <c r="N8" i="2"/>
  <c r="Q8" i="2" s="1"/>
  <c r="J8" i="2"/>
  <c r="L8" i="2" s="1"/>
  <c r="R7" i="2"/>
  <c r="U7" i="2" s="1"/>
  <c r="W7" i="2" s="1"/>
  <c r="N7" i="2"/>
  <c r="Q7" i="2" s="1"/>
  <c r="J7" i="2"/>
  <c r="M7" i="2" s="1"/>
  <c r="R6" i="2"/>
  <c r="T6" i="2" s="1"/>
  <c r="N6" i="2"/>
  <c r="Q6" i="2" s="1"/>
  <c r="J6" i="2"/>
  <c r="L6" i="2" s="1"/>
  <c r="R5" i="2"/>
  <c r="U5" i="2" s="1"/>
  <c r="W5" i="2" s="1"/>
  <c r="N5" i="2"/>
  <c r="Q5" i="2" s="1"/>
  <c r="J5" i="2"/>
  <c r="L5" i="2" s="1"/>
  <c r="R4" i="2"/>
  <c r="T4" i="2" s="1"/>
  <c r="N4" i="2"/>
  <c r="Q4" i="2" s="1"/>
  <c r="J4" i="2"/>
  <c r="L4" i="2" s="1"/>
  <c r="R3" i="2"/>
  <c r="T3" i="2" s="1"/>
  <c r="N3" i="2"/>
  <c r="P3" i="2" s="1"/>
  <c r="J3" i="2"/>
  <c r="M3" i="2" s="1"/>
  <c r="R2" i="2"/>
  <c r="U2" i="2" s="1"/>
  <c r="W2" i="2" s="1"/>
  <c r="N2" i="2"/>
  <c r="Q2" i="2" s="1"/>
  <c r="J2" i="2"/>
  <c r="M2" i="2" s="1"/>
  <c r="F62" i="2" l="1"/>
  <c r="J62" i="2"/>
  <c r="N62" i="2"/>
  <c r="R62" i="2"/>
  <c r="H7" i="2"/>
  <c r="I41" i="2"/>
  <c r="H48" i="2"/>
  <c r="H18" i="2"/>
  <c r="H40" i="2"/>
  <c r="I20" i="2"/>
  <c r="I22" i="2"/>
  <c r="I50" i="2"/>
  <c r="H51" i="2"/>
  <c r="I11" i="2"/>
  <c r="H52" i="2"/>
  <c r="H13" i="2"/>
  <c r="I38" i="2"/>
  <c r="H55" i="2"/>
  <c r="H30" i="2"/>
  <c r="I10" i="2"/>
  <c r="P51" i="2"/>
  <c r="H60" i="2"/>
  <c r="H21" i="2"/>
  <c r="I42" i="2"/>
  <c r="I23" i="2"/>
  <c r="H33" i="2"/>
  <c r="I53" i="2"/>
  <c r="H54" i="2"/>
  <c r="I43" i="2"/>
  <c r="I15" i="2"/>
  <c r="H16" i="2"/>
  <c r="H46" i="2"/>
  <c r="H26" i="2"/>
  <c r="H56" i="2"/>
  <c r="H6" i="2"/>
  <c r="H37" i="2"/>
  <c r="H17" i="2"/>
  <c r="H27" i="2"/>
  <c r="I47" i="2"/>
  <c r="H57" i="2"/>
  <c r="I14" i="2"/>
  <c r="I45" i="2"/>
  <c r="I12" i="2"/>
  <c r="I24" i="2"/>
  <c r="H32" i="2"/>
  <c r="I25" i="2"/>
  <c r="H58" i="2"/>
  <c r="I3" i="2"/>
  <c r="H35" i="2"/>
  <c r="I39" i="2"/>
  <c r="H5" i="2"/>
  <c r="I19" i="2"/>
  <c r="H29" i="2"/>
  <c r="I49" i="2"/>
  <c r="H59" i="2"/>
  <c r="I4" i="2"/>
  <c r="H36" i="2"/>
  <c r="H44" i="2"/>
  <c r="H28" i="2"/>
  <c r="H8" i="2"/>
  <c r="H9" i="2"/>
  <c r="H34" i="2"/>
  <c r="H61" i="2"/>
  <c r="H31" i="2"/>
  <c r="M56" i="2"/>
  <c r="Q58" i="2"/>
  <c r="M15" i="2"/>
  <c r="Q31" i="2"/>
  <c r="L51" i="2"/>
  <c r="P6" i="2"/>
  <c r="I2" i="2"/>
  <c r="M32" i="2"/>
  <c r="U14" i="2"/>
  <c r="W14" i="2" s="1"/>
  <c r="P59" i="2"/>
  <c r="M17" i="2"/>
  <c r="P53" i="2"/>
  <c r="Q43" i="2"/>
  <c r="U45" i="2"/>
  <c r="W45" i="2" s="1"/>
  <c r="U24" i="2"/>
  <c r="W24" i="2" s="1"/>
  <c r="U6" i="2"/>
  <c r="W6" i="2" s="1"/>
  <c r="U37" i="2"/>
  <c r="W37" i="2" s="1"/>
  <c r="U58" i="2"/>
  <c r="W58" i="2" s="1"/>
  <c r="T23" i="2"/>
  <c r="L47" i="2"/>
  <c r="L60" i="2"/>
  <c r="P60" i="2"/>
  <c r="T60" i="2"/>
  <c r="L61" i="2"/>
  <c r="P61" i="2"/>
  <c r="T61" i="2"/>
  <c r="U8" i="2"/>
  <c r="W8" i="2" s="1"/>
  <c r="L18" i="2"/>
  <c r="L26" i="2"/>
  <c r="L42" i="2"/>
  <c r="Q18" i="2"/>
  <c r="L50" i="2"/>
  <c r="L19" i="2"/>
  <c r="U34" i="2"/>
  <c r="W34" i="2" s="1"/>
  <c r="M58" i="2"/>
  <c r="T35" i="2"/>
  <c r="P36" i="2"/>
  <c r="T29" i="2"/>
  <c r="M37" i="2"/>
  <c r="L45" i="2"/>
  <c r="T52" i="2"/>
  <c r="M30" i="2"/>
  <c r="P29" i="2"/>
  <c r="U30" i="2"/>
  <c r="W30" i="2" s="1"/>
  <c r="Q46" i="2"/>
  <c r="T20" i="2"/>
  <c r="Q9" i="2"/>
  <c r="P47" i="2"/>
  <c r="L21" i="2"/>
  <c r="T47" i="2"/>
  <c r="M53" i="2"/>
  <c r="P37" i="2"/>
  <c r="P21" i="2"/>
  <c r="M4" i="2"/>
  <c r="U10" i="2"/>
  <c r="W10" i="2" s="1"/>
  <c r="U15" i="2"/>
  <c r="W15" i="2" s="1"/>
  <c r="L27" i="2"/>
  <c r="L48" i="2"/>
  <c r="P4" i="2"/>
  <c r="T21" i="2"/>
  <c r="P27" i="2"/>
  <c r="U32" i="2"/>
  <c r="W32" i="2" s="1"/>
  <c r="Q48" i="2"/>
  <c r="T53" i="2"/>
  <c r="T59" i="2"/>
  <c r="Q38" i="2"/>
  <c r="T17" i="2"/>
  <c r="U39" i="2"/>
  <c r="W39" i="2" s="1"/>
  <c r="L33" i="2"/>
  <c r="L28" i="2"/>
  <c r="Q44" i="2"/>
  <c r="M6" i="2"/>
  <c r="L13" i="2"/>
  <c r="Q23" i="2"/>
  <c r="T28" i="2"/>
  <c r="P34" i="2"/>
  <c r="P5" i="2"/>
  <c r="P33" i="2"/>
  <c r="U44" i="2"/>
  <c r="W44" i="2" s="1"/>
  <c r="U49" i="2"/>
  <c r="W49" i="2" s="1"/>
  <c r="L11" i="2"/>
  <c r="P13" i="2"/>
  <c r="P50" i="2"/>
  <c r="P49" i="2"/>
  <c r="L22" i="2"/>
  <c r="T13" i="2"/>
  <c r="L35" i="2"/>
  <c r="T50" i="2"/>
  <c r="M12" i="2"/>
  <c r="L57" i="2"/>
  <c r="Q16" i="2"/>
  <c r="Q28" i="2"/>
  <c r="P35" i="2"/>
  <c r="P57" i="2"/>
  <c r="M8" i="2"/>
  <c r="L49" i="2"/>
  <c r="T19" i="2"/>
  <c r="U3" i="2"/>
  <c r="W3" i="2" s="1"/>
  <c r="P14" i="2"/>
  <c r="Q25" i="2"/>
  <c r="P2" i="2"/>
  <c r="M43" i="2"/>
  <c r="T51" i="2"/>
  <c r="T2" i="2"/>
  <c r="L9" i="2"/>
  <c r="T11" i="2"/>
  <c r="L40" i="2"/>
  <c r="T42" i="2"/>
  <c r="P55" i="2"/>
  <c r="L14" i="2"/>
  <c r="T16" i="2"/>
  <c r="P30" i="2"/>
  <c r="L44" i="2"/>
  <c r="T46" i="2"/>
  <c r="L24" i="2"/>
  <c r="P40" i="2"/>
  <c r="L54" i="2"/>
  <c r="T55" i="2"/>
  <c r="P19" i="2"/>
  <c r="U4" i="2"/>
  <c r="W4" i="2" s="1"/>
  <c r="L7" i="2"/>
  <c r="T9" i="2"/>
  <c r="P24" i="2"/>
  <c r="L38" i="2"/>
  <c r="T40" i="2"/>
  <c r="P54" i="2"/>
  <c r="L2" i="2"/>
  <c r="L52" i="2"/>
  <c r="T54" i="2"/>
  <c r="P17" i="2"/>
  <c r="L31" i="2"/>
  <c r="T33" i="2"/>
  <c r="P7" i="2"/>
  <c r="L36" i="2"/>
  <c r="T38" i="2"/>
  <c r="P52" i="2"/>
  <c r="T7" i="2"/>
  <c r="P22" i="2"/>
  <c r="M5" i="2"/>
  <c r="L10" i="2"/>
  <c r="T12" i="2"/>
  <c r="P26" i="2"/>
  <c r="L41" i="2"/>
  <c r="T43" i="2"/>
  <c r="P56" i="2"/>
  <c r="P12" i="2"/>
  <c r="U22" i="2"/>
  <c r="W22" i="2" s="1"/>
  <c r="T26" i="2"/>
  <c r="P41" i="2"/>
  <c r="T56" i="2"/>
  <c r="Q10" i="2"/>
  <c r="P15" i="2"/>
  <c r="M25" i="2"/>
  <c r="L29" i="2"/>
  <c r="T31" i="2"/>
  <c r="P45" i="2"/>
  <c r="L59" i="2"/>
  <c r="M20" i="2"/>
  <c r="P20" i="2"/>
  <c r="L3" i="2"/>
  <c r="T5" i="2"/>
  <c r="L34" i="2"/>
  <c r="T36" i="2"/>
  <c r="L39" i="2"/>
  <c r="T41" i="2"/>
  <c r="Q3" i="2"/>
  <c r="P8" i="2"/>
  <c r="L23" i="2"/>
  <c r="T25" i="2"/>
  <c r="P39" i="2"/>
  <c r="L16" i="2"/>
  <c r="T18" i="2"/>
  <c r="P32" i="2"/>
  <c r="L46" i="2"/>
  <c r="T48" i="2"/>
  <c r="T27" i="2"/>
  <c r="P42" i="2"/>
  <c r="L55" i="2"/>
  <c r="T57" i="2"/>
  <c r="P11" i="2"/>
</calcChain>
</file>

<file path=xl/sharedStrings.xml><?xml version="1.0" encoding="utf-8"?>
<sst xmlns="http://schemas.openxmlformats.org/spreadsheetml/2006/main" count="143" uniqueCount="92">
  <si>
    <t>ID</t>
  </si>
  <si>
    <t>UserName</t>
  </si>
  <si>
    <t xml:space="preserve">Abbas </t>
  </si>
  <si>
    <t>Abdul</t>
  </si>
  <si>
    <t>Abhijith</t>
  </si>
  <si>
    <t>Abhilash</t>
  </si>
  <si>
    <t>Akhilasif</t>
  </si>
  <si>
    <t>Amaan</t>
  </si>
  <si>
    <t>Aqeeb</t>
  </si>
  <si>
    <t>Aravind</t>
  </si>
  <si>
    <t>Asif</t>
  </si>
  <si>
    <t>Avinash</t>
  </si>
  <si>
    <t>Chiranjeevi</t>
  </si>
  <si>
    <t>Ehsan</t>
  </si>
  <si>
    <t>Farhan</t>
  </si>
  <si>
    <t>Farizi</t>
  </si>
  <si>
    <t>Fiyaz</t>
  </si>
  <si>
    <t xml:space="preserve">Greson </t>
  </si>
  <si>
    <t>Gulam</t>
  </si>
  <si>
    <t>Haider</t>
  </si>
  <si>
    <t>Haris</t>
  </si>
  <si>
    <t>Harnek</t>
  </si>
  <si>
    <t>Hossain</t>
  </si>
  <si>
    <t>Imran</t>
  </si>
  <si>
    <t>Iqbal Hassan Kahloon</t>
  </si>
  <si>
    <t>Irfan</t>
  </si>
  <si>
    <t>Joel</t>
  </si>
  <si>
    <t>Kumar</t>
  </si>
  <si>
    <t>Lakshman</t>
  </si>
  <si>
    <t>Majed</t>
  </si>
  <si>
    <t>Manikanth</t>
  </si>
  <si>
    <t>Manzoor</t>
  </si>
  <si>
    <t>Maratib</t>
  </si>
  <si>
    <t>Mirza</t>
  </si>
  <si>
    <t>Munir</t>
  </si>
  <si>
    <t>Nadeem</t>
  </si>
  <si>
    <t>Nagaraju</t>
  </si>
  <si>
    <t>NAGESH</t>
  </si>
  <si>
    <t>Naveen</t>
  </si>
  <si>
    <t>Prajapathi</t>
  </si>
  <si>
    <t>Qaisar</t>
  </si>
  <si>
    <t>Raazaq</t>
  </si>
  <si>
    <t>Rajesh</t>
  </si>
  <si>
    <t>Rajinder</t>
  </si>
  <si>
    <t>Rakibul</t>
  </si>
  <si>
    <t>Ratheesh</t>
  </si>
  <si>
    <t>Ritik</t>
  </si>
  <si>
    <t>Saddam</t>
  </si>
  <si>
    <t>Shahsad</t>
  </si>
  <si>
    <t>Shalu Nawas</t>
  </si>
  <si>
    <t>Shariful</t>
  </si>
  <si>
    <t>Soyeb</t>
  </si>
  <si>
    <t xml:space="preserve">Srinivasa Damineni </t>
  </si>
  <si>
    <t>Sumith</t>
  </si>
  <si>
    <t>Syndeep</t>
  </si>
  <si>
    <t>Vignesh</t>
  </si>
  <si>
    <t>Vikram</t>
  </si>
  <si>
    <t>vsman</t>
  </si>
  <si>
    <t>Zaheer</t>
  </si>
  <si>
    <t>Zahoor</t>
  </si>
  <si>
    <t>Zeeshan</t>
  </si>
  <si>
    <t>Zohaib</t>
  </si>
  <si>
    <t>70%</t>
  </si>
  <si>
    <t>Comm</t>
  </si>
  <si>
    <t>Diff</t>
  </si>
  <si>
    <t>Money</t>
  </si>
  <si>
    <t>80%</t>
  </si>
  <si>
    <t>Comm2</t>
  </si>
  <si>
    <t>Diff3</t>
  </si>
  <si>
    <t>Money4</t>
  </si>
  <si>
    <t>90%</t>
  </si>
  <si>
    <t>Comm5</t>
  </si>
  <si>
    <t>Diff2</t>
  </si>
  <si>
    <t>Money7</t>
  </si>
  <si>
    <t>100%</t>
  </si>
  <si>
    <t>Comm8</t>
  </si>
  <si>
    <t>Diff9</t>
  </si>
  <si>
    <t>Money10</t>
  </si>
  <si>
    <t>Bonus</t>
  </si>
  <si>
    <t>TTl Comm</t>
  </si>
  <si>
    <t>Manager</t>
  </si>
  <si>
    <t>Bilal</t>
  </si>
  <si>
    <t>Faisal</t>
  </si>
  <si>
    <t>Shahid</t>
  </si>
  <si>
    <t>Faheem</t>
  </si>
  <si>
    <t>Mahmud</t>
  </si>
  <si>
    <t>Suhaib</t>
  </si>
  <si>
    <t>Waleed</t>
  </si>
  <si>
    <t>Safwan</t>
  </si>
  <si>
    <t>Ahsin</t>
  </si>
  <si>
    <t>Prev Act</t>
  </si>
  <si>
    <t>KPI-1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</si>
</sst>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Border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/>
    </xf>
    <xf numFmtId="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9" fontId="1" fillId="5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9" fontId="1" fillId="6" borderId="1" xfId="0" applyNumberFormat="1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9" fontId="1" fillId="7" borderId="1" xfId="0" applyNumberFormat="1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W62" totalsRowCount="1" headerRowDxfId="49" headerRowBorderDxfId="48" tableBorderDxfId="47" totalsRowBorderDxfId="46">
  <sortState xmlns:xlrd2="http://schemas.microsoft.com/office/spreadsheetml/2017/richdata2" ref="A2:W61">
    <sortCondition ref="B1:B61"/>
  </sortState>
  <tableColumns count="23">
    <tableColumn id="1" xr3:uid="{00000000-0010-0000-0000-000001000000}" name="ID" dataDxfId="45" totalsRowDxfId="22"/>
    <tableColumn id="2" xr3:uid="{00000000-0010-0000-0000-000002000000}" name="UserName" dataDxfId="44" totalsRowDxfId="21"/>
    <tableColumn id="23" xr3:uid="{1DB811C1-D85B-48BA-895E-17C63AE7ACBD}" name="Manager" dataDxfId="43" totalsRowDxfId="20"/>
    <tableColumn id="3" xr3:uid="{00000000-0010-0000-0000-000003000000}" name="Prev Act" totalsRowFunction="sum" dataDxfId="42" totalsRowDxfId="19"/>
    <tableColumn id="4" xr3:uid="{6911E7B9-24DB-4778-BAFB-2F63CB2CFD8D}" name="KPI-1" totalsRowFunction="custom" dataDxfId="41" totalsRowDxfId="18">
      <totalsRowFormula>SUBTOTAL(9,E2:E61)</totalsRowFormula>
    </tableColumn>
    <tableColumn id="5" xr3:uid="{EB711E08-7E6B-4D0A-8D36-A6BB0AF0EF95}" name="70%" totalsRowFunction="custom" dataDxfId="40" totalsRowDxfId="17">
      <calculatedColumnFormula>Table1[[#This Row],[KPI-1]]*70/100</calculatedColumnFormula>
      <totalsRowFormula>SUBTOTAL(9,F2:F61)</totalsRowFormula>
    </tableColumn>
    <tableColumn id="6" xr3:uid="{F0439F2F-2C4D-4241-8450-79EDADDBD327}" name="Comm" dataDxfId="39" totalsRowDxfId="16"/>
    <tableColumn id="7" xr3:uid="{900F3809-694E-4D3E-BC37-549DA3D4BE17}" name="Diff" dataDxfId="38" totalsRowDxfId="15">
      <calculatedColumnFormula>F2-D2</calculatedColumnFormula>
    </tableColumn>
    <tableColumn id="8" xr3:uid="{4F51B324-6F91-4216-A9ED-5AC8AB58D1A9}" name="Money" dataDxfId="37" totalsRowDxfId="14">
      <calculatedColumnFormula>F2*G2</calculatedColumnFormula>
    </tableColumn>
    <tableColumn id="9" xr3:uid="{8BFEAC3E-E290-4293-AA83-F70973094DAD}" name="80%" totalsRowFunction="custom" dataDxfId="36" totalsRowDxfId="13">
      <totalsRowFormula>SUBTOTAL(9,J2:J61)</totalsRowFormula>
    </tableColumn>
    <tableColumn id="10" xr3:uid="{C9A6EA76-A859-44EF-8B8F-E56811DBF480}" name="Comm2" dataDxfId="35" totalsRowDxfId="12"/>
    <tableColumn id="11" xr3:uid="{72CED930-DAAD-461E-8B2D-48FDCF11C405}" name="Diff3" dataDxfId="34" totalsRowDxfId="11"/>
    <tableColumn id="12" xr3:uid="{3B5A16AD-940B-4C65-ADD3-4C2E6A665737}" name="Money4" dataDxfId="33" totalsRowDxfId="10"/>
    <tableColumn id="13" xr3:uid="{6590844E-76E1-40B6-8EB9-B63D9A0C5FEE}" name="90%" totalsRowFunction="custom" dataDxfId="32" totalsRowDxfId="9">
      <totalsRowFormula>SUBTOTAL(9,N2:N61)</totalsRowFormula>
    </tableColumn>
    <tableColumn id="14" xr3:uid="{FFFF2F2A-7103-44ED-B689-28C73D265B01}" name="Comm5" dataDxfId="31" totalsRowDxfId="8"/>
    <tableColumn id="15" xr3:uid="{71093BFC-7B0A-41BA-B34A-2C16923C8F2E}" name="Diff2" dataDxfId="30" totalsRowDxfId="7"/>
    <tableColumn id="16" xr3:uid="{42135131-7119-436C-9DDE-B81B9CF5CEED}" name="Money7" dataDxfId="29" totalsRowDxfId="6"/>
    <tableColumn id="17" xr3:uid="{6FC46B0C-6C63-4DB8-9B73-5947E88BDB19}" name="100%" totalsRowFunction="custom" dataDxfId="28" totalsRowDxfId="5">
      <totalsRowFormula>SUBTOTAL(9,R2:R61)</totalsRowFormula>
    </tableColumn>
    <tableColumn id="18" xr3:uid="{DC74DEA2-F7C5-4554-A8A9-5C13C25F6CF7}" name="Comm8" dataDxfId="27" totalsRowDxfId="4"/>
    <tableColumn id="19" xr3:uid="{DF322068-AEC7-4C47-BE21-B22CDD3D7BF9}" name="Diff9" dataDxfId="26" totalsRowDxfId="3"/>
    <tableColumn id="20" xr3:uid="{31A8ECE6-E473-405B-A63C-F8FD32DFA1CA}" name="Money10" dataDxfId="25" totalsRowDxfId="2"/>
    <tableColumn id="21" xr3:uid="{3284B0A7-1888-4E5A-859A-2E4D639FD934}" name="Bonus" dataDxfId="24" totalsRowDxfId="1"/>
    <tableColumn id="22" xr3:uid="{08759D13-DFB7-4AA4-8ACF-14497BE733CF}" name="TTl Comm" dataDxfId="23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tabSelected="1" workbookViewId="0">
      <selection activeCell="C28" sqref="C28"/>
    </sheetView>
  </sheetViews>
  <sheetFormatPr defaultRowHeight="14.4" x14ac:dyDescent="0.3"/>
  <cols>
    <col min="1" max="1" width="6.44140625" style="12" customWidth="1"/>
    <col min="2" max="2" width="20" style="12" customWidth="1"/>
    <col min="3" max="4" width="12.109375" style="12" customWidth="1"/>
    <col min="5" max="5" width="10.33203125" bestFit="1" customWidth="1"/>
    <col min="6" max="23" width="7" customWidth="1"/>
  </cols>
  <sheetData>
    <row r="1" spans="1:23" x14ac:dyDescent="0.3">
      <c r="A1" s="7" t="s">
        <v>0</v>
      </c>
      <c r="B1" s="7" t="s">
        <v>1</v>
      </c>
      <c r="C1" s="7" t="s">
        <v>80</v>
      </c>
      <c r="D1" s="7" t="s">
        <v>90</v>
      </c>
      <c r="E1" s="1" t="s">
        <v>91</v>
      </c>
      <c r="F1" s="15" t="s">
        <v>62</v>
      </c>
      <c r="G1" s="16" t="s">
        <v>63</v>
      </c>
      <c r="H1" s="16" t="s">
        <v>64</v>
      </c>
      <c r="I1" s="16" t="s">
        <v>65</v>
      </c>
      <c r="J1" s="2" t="s">
        <v>66</v>
      </c>
      <c r="K1" s="3" t="s">
        <v>67</v>
      </c>
      <c r="L1" s="3" t="s">
        <v>68</v>
      </c>
      <c r="M1" s="3" t="s">
        <v>69</v>
      </c>
      <c r="N1" s="18" t="s">
        <v>70</v>
      </c>
      <c r="O1" s="19" t="s">
        <v>71</v>
      </c>
      <c r="P1" s="19" t="s">
        <v>72</v>
      </c>
      <c r="Q1" s="19" t="s">
        <v>73</v>
      </c>
      <c r="R1" s="21" t="s">
        <v>74</v>
      </c>
      <c r="S1" s="22" t="s">
        <v>75</v>
      </c>
      <c r="T1" s="22" t="s">
        <v>76</v>
      </c>
      <c r="U1" s="22" t="s">
        <v>77</v>
      </c>
      <c r="V1" s="1" t="s">
        <v>78</v>
      </c>
      <c r="W1" s="4" t="s">
        <v>79</v>
      </c>
    </row>
    <row r="2" spans="1:23" x14ac:dyDescent="0.3">
      <c r="A2" s="24">
        <v>192</v>
      </c>
      <c r="B2" s="24" t="s">
        <v>2</v>
      </c>
      <c r="C2" s="7" t="s">
        <v>81</v>
      </c>
      <c r="D2" s="24">
        <v>158</v>
      </c>
      <c r="E2" s="5">
        <v>200</v>
      </c>
      <c r="F2" s="17">
        <f>Table1[[#This Row],[KPI-1]]*70/100</f>
        <v>140</v>
      </c>
      <c r="G2" s="17">
        <v>0.2</v>
      </c>
      <c r="H2" s="17">
        <f t="shared" ref="H2:H33" si="0">F2-D2</f>
        <v>-18</v>
      </c>
      <c r="I2" s="17">
        <f t="shared" ref="I2:I33" si="1">F2*G2</f>
        <v>28</v>
      </c>
      <c r="J2" s="6">
        <f t="shared" ref="J2:J33" si="2">E2*80/100</f>
        <v>160</v>
      </c>
      <c r="K2" s="6">
        <v>0.3</v>
      </c>
      <c r="L2" s="6">
        <f t="shared" ref="L2:L33" si="3">J2-D2</f>
        <v>2</v>
      </c>
      <c r="M2" s="6">
        <f t="shared" ref="M2:M33" si="4">J2*K2</f>
        <v>48</v>
      </c>
      <c r="N2" s="20">
        <f t="shared" ref="N2:N33" si="5">E2*90/100</f>
        <v>180</v>
      </c>
      <c r="O2" s="20">
        <v>0.4</v>
      </c>
      <c r="P2" s="20">
        <f t="shared" ref="P2:P33" si="6">N2-D2</f>
        <v>22</v>
      </c>
      <c r="Q2" s="20">
        <f t="shared" ref="Q2:Q33" si="7">N2*O2</f>
        <v>72</v>
      </c>
      <c r="R2" s="23">
        <f t="shared" ref="R2:R33" si="8">E2*100/100</f>
        <v>200</v>
      </c>
      <c r="S2" s="23">
        <v>0.5</v>
      </c>
      <c r="T2" s="23">
        <f t="shared" ref="T2:T33" si="9">R2-D2</f>
        <v>42</v>
      </c>
      <c r="U2" s="23">
        <f t="shared" ref="U2:U33" si="10">R2*S2</f>
        <v>100</v>
      </c>
      <c r="V2" s="7">
        <v>100</v>
      </c>
      <c r="W2" s="8">
        <f t="shared" ref="W2:W33" si="11">U2+V2</f>
        <v>200</v>
      </c>
    </row>
    <row r="3" spans="1:23" x14ac:dyDescent="0.3">
      <c r="A3" s="24">
        <v>20</v>
      </c>
      <c r="B3" s="24" t="s">
        <v>3</v>
      </c>
      <c r="C3" s="7" t="s">
        <v>82</v>
      </c>
      <c r="D3" s="24">
        <v>122</v>
      </c>
      <c r="E3" s="5">
        <v>200</v>
      </c>
      <c r="F3" s="17">
        <f>Table1[[#This Row],[KPI-1]]*70/100</f>
        <v>140</v>
      </c>
      <c r="G3" s="17">
        <v>0.2</v>
      </c>
      <c r="H3" s="17">
        <f t="shared" si="0"/>
        <v>18</v>
      </c>
      <c r="I3" s="17">
        <f t="shared" si="1"/>
        <v>28</v>
      </c>
      <c r="J3" s="6">
        <f t="shared" si="2"/>
        <v>160</v>
      </c>
      <c r="K3" s="6">
        <v>0.3</v>
      </c>
      <c r="L3" s="6">
        <f t="shared" si="3"/>
        <v>38</v>
      </c>
      <c r="M3" s="6">
        <f t="shared" si="4"/>
        <v>48</v>
      </c>
      <c r="N3" s="20">
        <f t="shared" si="5"/>
        <v>180</v>
      </c>
      <c r="O3" s="20">
        <v>0.4</v>
      </c>
      <c r="P3" s="20">
        <f t="shared" si="6"/>
        <v>58</v>
      </c>
      <c r="Q3" s="20">
        <f t="shared" si="7"/>
        <v>72</v>
      </c>
      <c r="R3" s="23">
        <f t="shared" si="8"/>
        <v>200</v>
      </c>
      <c r="S3" s="23">
        <v>0.5</v>
      </c>
      <c r="T3" s="23">
        <f t="shared" si="9"/>
        <v>78</v>
      </c>
      <c r="U3" s="23">
        <f t="shared" si="10"/>
        <v>100</v>
      </c>
      <c r="V3" s="7">
        <v>100</v>
      </c>
      <c r="W3" s="8">
        <f t="shared" si="11"/>
        <v>200</v>
      </c>
    </row>
    <row r="4" spans="1:23" x14ac:dyDescent="0.3">
      <c r="A4" s="24">
        <v>92</v>
      </c>
      <c r="B4" s="24" t="s">
        <v>4</v>
      </c>
      <c r="C4" s="7" t="s">
        <v>83</v>
      </c>
      <c r="D4" s="24">
        <v>240</v>
      </c>
      <c r="E4" s="5">
        <v>290</v>
      </c>
      <c r="F4" s="17">
        <f>Table1[[#This Row],[KPI-1]]*70/100</f>
        <v>203</v>
      </c>
      <c r="G4" s="17">
        <v>0.2</v>
      </c>
      <c r="H4" s="17">
        <f t="shared" si="0"/>
        <v>-37</v>
      </c>
      <c r="I4" s="17">
        <f t="shared" si="1"/>
        <v>40.6</v>
      </c>
      <c r="J4" s="6">
        <f t="shared" si="2"/>
        <v>232</v>
      </c>
      <c r="K4" s="6">
        <v>0.3</v>
      </c>
      <c r="L4" s="6">
        <f t="shared" si="3"/>
        <v>-8</v>
      </c>
      <c r="M4" s="6">
        <f t="shared" si="4"/>
        <v>69.599999999999994</v>
      </c>
      <c r="N4" s="20">
        <f t="shared" si="5"/>
        <v>261</v>
      </c>
      <c r="O4" s="20">
        <v>0.4</v>
      </c>
      <c r="P4" s="20">
        <f t="shared" si="6"/>
        <v>21</v>
      </c>
      <c r="Q4" s="20">
        <f t="shared" si="7"/>
        <v>104.4</v>
      </c>
      <c r="R4" s="23">
        <f t="shared" si="8"/>
        <v>290</v>
      </c>
      <c r="S4" s="23">
        <v>0.5</v>
      </c>
      <c r="T4" s="23">
        <f t="shared" si="9"/>
        <v>50</v>
      </c>
      <c r="U4" s="23">
        <f t="shared" si="10"/>
        <v>145</v>
      </c>
      <c r="V4" s="7">
        <v>100</v>
      </c>
      <c r="W4" s="8">
        <f t="shared" si="11"/>
        <v>245</v>
      </c>
    </row>
    <row r="5" spans="1:23" x14ac:dyDescent="0.3">
      <c r="A5" s="24">
        <v>158</v>
      </c>
      <c r="B5" s="24" t="s">
        <v>5</v>
      </c>
      <c r="C5" s="7" t="s">
        <v>84</v>
      </c>
      <c r="D5" s="24">
        <v>320</v>
      </c>
      <c r="E5" s="5">
        <v>350</v>
      </c>
      <c r="F5" s="17">
        <f>Table1[[#This Row],[KPI-1]]*70/100</f>
        <v>245</v>
      </c>
      <c r="G5" s="17">
        <v>0.2</v>
      </c>
      <c r="H5" s="17">
        <f t="shared" si="0"/>
        <v>-75</v>
      </c>
      <c r="I5" s="17">
        <f t="shared" si="1"/>
        <v>49</v>
      </c>
      <c r="J5" s="6">
        <f t="shared" si="2"/>
        <v>280</v>
      </c>
      <c r="K5" s="6">
        <v>0.3</v>
      </c>
      <c r="L5" s="6">
        <f t="shared" si="3"/>
        <v>-40</v>
      </c>
      <c r="M5" s="6">
        <f t="shared" si="4"/>
        <v>84</v>
      </c>
      <c r="N5" s="20">
        <f t="shared" si="5"/>
        <v>315</v>
      </c>
      <c r="O5" s="20">
        <v>0.4</v>
      </c>
      <c r="P5" s="20">
        <f t="shared" si="6"/>
        <v>-5</v>
      </c>
      <c r="Q5" s="20">
        <f t="shared" si="7"/>
        <v>126</v>
      </c>
      <c r="R5" s="23">
        <f t="shared" si="8"/>
        <v>350</v>
      </c>
      <c r="S5" s="23">
        <v>0.5</v>
      </c>
      <c r="T5" s="23">
        <f t="shared" si="9"/>
        <v>30</v>
      </c>
      <c r="U5" s="23">
        <f t="shared" si="10"/>
        <v>175</v>
      </c>
      <c r="V5" s="7">
        <v>100</v>
      </c>
      <c r="W5" s="8">
        <f t="shared" si="11"/>
        <v>275</v>
      </c>
    </row>
    <row r="6" spans="1:23" x14ac:dyDescent="0.3">
      <c r="A6" s="24">
        <v>195</v>
      </c>
      <c r="B6" s="24" t="s">
        <v>6</v>
      </c>
      <c r="C6" s="7" t="s">
        <v>85</v>
      </c>
      <c r="D6" s="24">
        <v>254</v>
      </c>
      <c r="E6" s="5">
        <v>300</v>
      </c>
      <c r="F6" s="17">
        <f>Table1[[#This Row],[KPI-1]]*70/100</f>
        <v>210</v>
      </c>
      <c r="G6" s="17">
        <v>0.2</v>
      </c>
      <c r="H6" s="17">
        <f t="shared" si="0"/>
        <v>-44</v>
      </c>
      <c r="I6" s="17">
        <f t="shared" si="1"/>
        <v>42</v>
      </c>
      <c r="J6" s="6">
        <f t="shared" si="2"/>
        <v>240</v>
      </c>
      <c r="K6" s="6">
        <v>0.3</v>
      </c>
      <c r="L6" s="6">
        <f t="shared" si="3"/>
        <v>-14</v>
      </c>
      <c r="M6" s="6">
        <f t="shared" si="4"/>
        <v>72</v>
      </c>
      <c r="N6" s="20">
        <f t="shared" si="5"/>
        <v>270</v>
      </c>
      <c r="O6" s="20">
        <v>0.4</v>
      </c>
      <c r="P6" s="20">
        <f t="shared" si="6"/>
        <v>16</v>
      </c>
      <c r="Q6" s="20">
        <f t="shared" si="7"/>
        <v>108</v>
      </c>
      <c r="R6" s="23">
        <f t="shared" si="8"/>
        <v>300</v>
      </c>
      <c r="S6" s="23">
        <v>0.5</v>
      </c>
      <c r="T6" s="23">
        <f t="shared" si="9"/>
        <v>46</v>
      </c>
      <c r="U6" s="23">
        <f t="shared" si="10"/>
        <v>150</v>
      </c>
      <c r="V6" s="7">
        <v>100</v>
      </c>
      <c r="W6" s="8">
        <f t="shared" si="11"/>
        <v>250</v>
      </c>
    </row>
    <row r="7" spans="1:23" x14ac:dyDescent="0.3">
      <c r="A7" s="24">
        <v>48</v>
      </c>
      <c r="B7" s="24" t="s">
        <v>7</v>
      </c>
      <c r="C7" s="7" t="s">
        <v>82</v>
      </c>
      <c r="D7" s="24">
        <v>200</v>
      </c>
      <c r="E7" s="5">
        <v>250</v>
      </c>
      <c r="F7" s="17">
        <f>Table1[[#This Row],[KPI-1]]*70/100</f>
        <v>175</v>
      </c>
      <c r="G7" s="17">
        <v>0.2</v>
      </c>
      <c r="H7" s="17">
        <f t="shared" si="0"/>
        <v>-25</v>
      </c>
      <c r="I7" s="17">
        <f t="shared" si="1"/>
        <v>35</v>
      </c>
      <c r="J7" s="6">
        <f t="shared" si="2"/>
        <v>200</v>
      </c>
      <c r="K7" s="6">
        <v>0.3</v>
      </c>
      <c r="L7" s="6">
        <f t="shared" si="3"/>
        <v>0</v>
      </c>
      <c r="M7" s="6">
        <f t="shared" si="4"/>
        <v>60</v>
      </c>
      <c r="N7" s="20">
        <f t="shared" si="5"/>
        <v>225</v>
      </c>
      <c r="O7" s="20">
        <v>0.4</v>
      </c>
      <c r="P7" s="20">
        <f t="shared" si="6"/>
        <v>25</v>
      </c>
      <c r="Q7" s="20">
        <f t="shared" si="7"/>
        <v>90</v>
      </c>
      <c r="R7" s="23">
        <f t="shared" si="8"/>
        <v>250</v>
      </c>
      <c r="S7" s="23">
        <v>0.5</v>
      </c>
      <c r="T7" s="23">
        <f t="shared" si="9"/>
        <v>50</v>
      </c>
      <c r="U7" s="23">
        <f t="shared" si="10"/>
        <v>125</v>
      </c>
      <c r="V7" s="7">
        <v>100</v>
      </c>
      <c r="W7" s="8">
        <f t="shared" si="11"/>
        <v>225</v>
      </c>
    </row>
    <row r="8" spans="1:23" x14ac:dyDescent="0.3">
      <c r="A8" s="24">
        <v>165</v>
      </c>
      <c r="B8" s="24" t="s">
        <v>8</v>
      </c>
      <c r="C8" s="7" t="s">
        <v>84</v>
      </c>
      <c r="D8" s="24">
        <v>183</v>
      </c>
      <c r="E8" s="5">
        <v>230</v>
      </c>
      <c r="F8" s="17">
        <f>Table1[[#This Row],[KPI-1]]*70/100</f>
        <v>161</v>
      </c>
      <c r="G8" s="17">
        <v>0.2</v>
      </c>
      <c r="H8" s="17">
        <f t="shared" si="0"/>
        <v>-22</v>
      </c>
      <c r="I8" s="17">
        <f t="shared" si="1"/>
        <v>32.200000000000003</v>
      </c>
      <c r="J8" s="6">
        <f t="shared" si="2"/>
        <v>184</v>
      </c>
      <c r="K8" s="6">
        <v>0.3</v>
      </c>
      <c r="L8" s="6">
        <f t="shared" si="3"/>
        <v>1</v>
      </c>
      <c r="M8" s="6">
        <f t="shared" si="4"/>
        <v>55.199999999999996</v>
      </c>
      <c r="N8" s="20">
        <f t="shared" si="5"/>
        <v>207</v>
      </c>
      <c r="O8" s="20">
        <v>0.4</v>
      </c>
      <c r="P8" s="20">
        <f t="shared" si="6"/>
        <v>24</v>
      </c>
      <c r="Q8" s="20">
        <f t="shared" si="7"/>
        <v>82.800000000000011</v>
      </c>
      <c r="R8" s="23">
        <f t="shared" si="8"/>
        <v>230</v>
      </c>
      <c r="S8" s="23">
        <v>0.5</v>
      </c>
      <c r="T8" s="23">
        <f t="shared" si="9"/>
        <v>47</v>
      </c>
      <c r="U8" s="23">
        <f t="shared" si="10"/>
        <v>115</v>
      </c>
      <c r="V8" s="7">
        <v>100</v>
      </c>
      <c r="W8" s="8">
        <f t="shared" si="11"/>
        <v>215</v>
      </c>
    </row>
    <row r="9" spans="1:23" x14ac:dyDescent="0.3">
      <c r="A9" s="24">
        <v>216</v>
      </c>
      <c r="B9" s="24" t="s">
        <v>9</v>
      </c>
      <c r="C9" s="7" t="s">
        <v>86</v>
      </c>
      <c r="D9" s="24">
        <v>98</v>
      </c>
      <c r="E9" s="5">
        <v>150</v>
      </c>
      <c r="F9" s="17">
        <f>Table1[[#This Row],[KPI-1]]*70/100</f>
        <v>105</v>
      </c>
      <c r="G9" s="17">
        <v>0.2</v>
      </c>
      <c r="H9" s="17">
        <f t="shared" si="0"/>
        <v>7</v>
      </c>
      <c r="I9" s="17">
        <f t="shared" si="1"/>
        <v>21</v>
      </c>
      <c r="J9" s="6">
        <f t="shared" si="2"/>
        <v>120</v>
      </c>
      <c r="K9" s="6">
        <v>0.3</v>
      </c>
      <c r="L9" s="6">
        <f t="shared" si="3"/>
        <v>22</v>
      </c>
      <c r="M9" s="6">
        <f t="shared" si="4"/>
        <v>36</v>
      </c>
      <c r="N9" s="20">
        <f t="shared" si="5"/>
        <v>135</v>
      </c>
      <c r="O9" s="20">
        <v>0.4</v>
      </c>
      <c r="P9" s="20">
        <f t="shared" si="6"/>
        <v>37</v>
      </c>
      <c r="Q9" s="20">
        <f t="shared" si="7"/>
        <v>54</v>
      </c>
      <c r="R9" s="23">
        <f t="shared" si="8"/>
        <v>150</v>
      </c>
      <c r="S9" s="23">
        <v>0.5</v>
      </c>
      <c r="T9" s="23">
        <f t="shared" si="9"/>
        <v>52</v>
      </c>
      <c r="U9" s="23">
        <f t="shared" si="10"/>
        <v>75</v>
      </c>
      <c r="V9" s="7">
        <v>100</v>
      </c>
      <c r="W9" s="8">
        <f t="shared" si="11"/>
        <v>175</v>
      </c>
    </row>
    <row r="10" spans="1:23" x14ac:dyDescent="0.3">
      <c r="A10" s="24">
        <v>223</v>
      </c>
      <c r="B10" s="24" t="s">
        <v>10</v>
      </c>
      <c r="C10" s="7" t="s">
        <v>87</v>
      </c>
      <c r="D10" s="24">
        <v>2</v>
      </c>
      <c r="E10" s="5">
        <v>230</v>
      </c>
      <c r="F10" s="17">
        <f>Table1[[#This Row],[KPI-1]]*70/100</f>
        <v>161</v>
      </c>
      <c r="G10" s="17">
        <v>0.2</v>
      </c>
      <c r="H10" s="17">
        <f t="shared" si="0"/>
        <v>159</v>
      </c>
      <c r="I10" s="17">
        <f t="shared" si="1"/>
        <v>32.200000000000003</v>
      </c>
      <c r="J10" s="6">
        <f t="shared" si="2"/>
        <v>184</v>
      </c>
      <c r="K10" s="6">
        <v>0.3</v>
      </c>
      <c r="L10" s="6">
        <f t="shared" si="3"/>
        <v>182</v>
      </c>
      <c r="M10" s="6">
        <f t="shared" si="4"/>
        <v>55.199999999999996</v>
      </c>
      <c r="N10" s="20">
        <f t="shared" si="5"/>
        <v>207</v>
      </c>
      <c r="O10" s="20">
        <v>0.4</v>
      </c>
      <c r="P10" s="20">
        <f t="shared" si="6"/>
        <v>205</v>
      </c>
      <c r="Q10" s="20">
        <f t="shared" si="7"/>
        <v>82.800000000000011</v>
      </c>
      <c r="R10" s="23">
        <f t="shared" si="8"/>
        <v>230</v>
      </c>
      <c r="S10" s="23">
        <v>0.5</v>
      </c>
      <c r="T10" s="23">
        <f t="shared" si="9"/>
        <v>228</v>
      </c>
      <c r="U10" s="23">
        <f t="shared" si="10"/>
        <v>115</v>
      </c>
      <c r="V10" s="7">
        <v>100</v>
      </c>
      <c r="W10" s="8">
        <f t="shared" si="11"/>
        <v>215</v>
      </c>
    </row>
    <row r="11" spans="1:23" x14ac:dyDescent="0.3">
      <c r="A11" s="24">
        <v>222</v>
      </c>
      <c r="B11" s="24" t="s">
        <v>11</v>
      </c>
      <c r="C11" s="7" t="s">
        <v>86</v>
      </c>
      <c r="D11" s="24">
        <v>142</v>
      </c>
      <c r="E11" s="5">
        <v>200</v>
      </c>
      <c r="F11" s="17">
        <f>Table1[[#This Row],[KPI-1]]*70/100</f>
        <v>140</v>
      </c>
      <c r="G11" s="17">
        <v>0.2</v>
      </c>
      <c r="H11" s="17">
        <f t="shared" si="0"/>
        <v>-2</v>
      </c>
      <c r="I11" s="17">
        <f t="shared" si="1"/>
        <v>28</v>
      </c>
      <c r="J11" s="6">
        <f t="shared" si="2"/>
        <v>160</v>
      </c>
      <c r="K11" s="6">
        <v>0.3</v>
      </c>
      <c r="L11" s="6">
        <f t="shared" si="3"/>
        <v>18</v>
      </c>
      <c r="M11" s="6">
        <f t="shared" si="4"/>
        <v>48</v>
      </c>
      <c r="N11" s="20">
        <f t="shared" si="5"/>
        <v>180</v>
      </c>
      <c r="O11" s="20">
        <v>0.4</v>
      </c>
      <c r="P11" s="20">
        <f t="shared" si="6"/>
        <v>38</v>
      </c>
      <c r="Q11" s="20">
        <f t="shared" si="7"/>
        <v>72</v>
      </c>
      <c r="R11" s="23">
        <f t="shared" si="8"/>
        <v>200</v>
      </c>
      <c r="S11" s="23">
        <v>0.5</v>
      </c>
      <c r="T11" s="23">
        <f t="shared" si="9"/>
        <v>58</v>
      </c>
      <c r="U11" s="23">
        <f t="shared" si="10"/>
        <v>100</v>
      </c>
      <c r="V11" s="7">
        <v>100</v>
      </c>
      <c r="W11" s="8">
        <f t="shared" si="11"/>
        <v>200</v>
      </c>
    </row>
    <row r="12" spans="1:23" x14ac:dyDescent="0.3">
      <c r="A12" s="24">
        <v>203</v>
      </c>
      <c r="B12" s="24" t="s">
        <v>12</v>
      </c>
      <c r="C12" s="7" t="s">
        <v>85</v>
      </c>
      <c r="D12" s="24">
        <v>51</v>
      </c>
      <c r="E12" s="5">
        <v>100</v>
      </c>
      <c r="F12" s="17">
        <f>Table1[[#This Row],[KPI-1]]*70/100</f>
        <v>70</v>
      </c>
      <c r="G12" s="17">
        <v>0.2</v>
      </c>
      <c r="H12" s="17">
        <f t="shared" si="0"/>
        <v>19</v>
      </c>
      <c r="I12" s="17">
        <f t="shared" si="1"/>
        <v>14</v>
      </c>
      <c r="J12" s="6">
        <f t="shared" si="2"/>
        <v>80</v>
      </c>
      <c r="K12" s="6">
        <v>0.3</v>
      </c>
      <c r="L12" s="6">
        <f t="shared" si="3"/>
        <v>29</v>
      </c>
      <c r="M12" s="6">
        <f t="shared" si="4"/>
        <v>24</v>
      </c>
      <c r="N12" s="20">
        <f t="shared" si="5"/>
        <v>90</v>
      </c>
      <c r="O12" s="20">
        <v>0.4</v>
      </c>
      <c r="P12" s="20">
        <f t="shared" si="6"/>
        <v>39</v>
      </c>
      <c r="Q12" s="20">
        <f t="shared" si="7"/>
        <v>36</v>
      </c>
      <c r="R12" s="23">
        <f t="shared" si="8"/>
        <v>100</v>
      </c>
      <c r="S12" s="23">
        <v>0.5</v>
      </c>
      <c r="T12" s="23">
        <f t="shared" si="9"/>
        <v>49</v>
      </c>
      <c r="U12" s="23">
        <f t="shared" si="10"/>
        <v>50</v>
      </c>
      <c r="V12" s="7">
        <v>100</v>
      </c>
      <c r="W12" s="8">
        <f t="shared" si="11"/>
        <v>150</v>
      </c>
    </row>
    <row r="13" spans="1:23" x14ac:dyDescent="0.3">
      <c r="A13" s="24">
        <v>95</v>
      </c>
      <c r="B13" s="24" t="s">
        <v>13</v>
      </c>
      <c r="C13" s="7" t="s">
        <v>83</v>
      </c>
      <c r="D13" s="24">
        <v>286</v>
      </c>
      <c r="E13" s="5">
        <v>320</v>
      </c>
      <c r="F13" s="17">
        <f>Table1[[#This Row],[KPI-1]]*70/100</f>
        <v>224</v>
      </c>
      <c r="G13" s="17">
        <v>0.2</v>
      </c>
      <c r="H13" s="17">
        <f t="shared" si="0"/>
        <v>-62</v>
      </c>
      <c r="I13" s="17">
        <f t="shared" si="1"/>
        <v>44.800000000000004</v>
      </c>
      <c r="J13" s="6">
        <f t="shared" si="2"/>
        <v>256</v>
      </c>
      <c r="K13" s="6">
        <v>0.3</v>
      </c>
      <c r="L13" s="6">
        <f t="shared" si="3"/>
        <v>-30</v>
      </c>
      <c r="M13" s="6">
        <f t="shared" si="4"/>
        <v>76.8</v>
      </c>
      <c r="N13" s="20">
        <f t="shared" si="5"/>
        <v>288</v>
      </c>
      <c r="O13" s="20">
        <v>0.4</v>
      </c>
      <c r="P13" s="20">
        <f t="shared" si="6"/>
        <v>2</v>
      </c>
      <c r="Q13" s="20">
        <f t="shared" si="7"/>
        <v>115.2</v>
      </c>
      <c r="R13" s="23">
        <f t="shared" si="8"/>
        <v>320</v>
      </c>
      <c r="S13" s="23">
        <v>0.5</v>
      </c>
      <c r="T13" s="23">
        <f t="shared" si="9"/>
        <v>34</v>
      </c>
      <c r="U13" s="23">
        <f t="shared" si="10"/>
        <v>160</v>
      </c>
      <c r="V13" s="7">
        <v>100</v>
      </c>
      <c r="W13" s="8">
        <f t="shared" si="11"/>
        <v>260</v>
      </c>
    </row>
    <row r="14" spans="1:23" x14ac:dyDescent="0.3">
      <c r="A14" s="24">
        <v>204</v>
      </c>
      <c r="B14" s="24" t="s">
        <v>14</v>
      </c>
      <c r="C14" s="7" t="s">
        <v>85</v>
      </c>
      <c r="D14" s="24">
        <v>109</v>
      </c>
      <c r="E14" s="5">
        <v>170</v>
      </c>
      <c r="F14" s="17">
        <f>Table1[[#This Row],[KPI-1]]*70/100</f>
        <v>119</v>
      </c>
      <c r="G14" s="17">
        <v>0.2</v>
      </c>
      <c r="H14" s="17">
        <f t="shared" si="0"/>
        <v>10</v>
      </c>
      <c r="I14" s="17">
        <f t="shared" si="1"/>
        <v>23.8</v>
      </c>
      <c r="J14" s="6">
        <f t="shared" si="2"/>
        <v>136</v>
      </c>
      <c r="K14" s="6">
        <v>0.3</v>
      </c>
      <c r="L14" s="6">
        <f t="shared" si="3"/>
        <v>27</v>
      </c>
      <c r="M14" s="6">
        <f t="shared" si="4"/>
        <v>40.799999999999997</v>
      </c>
      <c r="N14" s="20">
        <f t="shared" si="5"/>
        <v>153</v>
      </c>
      <c r="O14" s="20">
        <v>0.4</v>
      </c>
      <c r="P14" s="20">
        <f t="shared" si="6"/>
        <v>44</v>
      </c>
      <c r="Q14" s="20">
        <f t="shared" si="7"/>
        <v>61.2</v>
      </c>
      <c r="R14" s="23">
        <f t="shared" si="8"/>
        <v>170</v>
      </c>
      <c r="S14" s="23">
        <v>0.5</v>
      </c>
      <c r="T14" s="23">
        <f t="shared" si="9"/>
        <v>61</v>
      </c>
      <c r="U14" s="23">
        <f t="shared" si="10"/>
        <v>85</v>
      </c>
      <c r="V14" s="7">
        <v>100</v>
      </c>
      <c r="W14" s="8">
        <f t="shared" si="11"/>
        <v>185</v>
      </c>
    </row>
    <row r="15" spans="1:23" x14ac:dyDescent="0.3">
      <c r="A15" s="24">
        <v>127</v>
      </c>
      <c r="B15" s="24" t="s">
        <v>15</v>
      </c>
      <c r="C15" s="7" t="s">
        <v>88</v>
      </c>
      <c r="D15" s="24">
        <v>243</v>
      </c>
      <c r="E15" s="5">
        <v>300</v>
      </c>
      <c r="F15" s="17">
        <f>Table1[[#This Row],[KPI-1]]*70/100</f>
        <v>210</v>
      </c>
      <c r="G15" s="17">
        <v>0.2</v>
      </c>
      <c r="H15" s="17">
        <f t="shared" si="0"/>
        <v>-33</v>
      </c>
      <c r="I15" s="17">
        <f t="shared" si="1"/>
        <v>42</v>
      </c>
      <c r="J15" s="6">
        <f t="shared" si="2"/>
        <v>240</v>
      </c>
      <c r="K15" s="6">
        <v>0.3</v>
      </c>
      <c r="L15" s="6">
        <f t="shared" si="3"/>
        <v>-3</v>
      </c>
      <c r="M15" s="6">
        <f t="shared" si="4"/>
        <v>72</v>
      </c>
      <c r="N15" s="20">
        <f t="shared" si="5"/>
        <v>270</v>
      </c>
      <c r="O15" s="20">
        <v>0.4</v>
      </c>
      <c r="P15" s="20">
        <f t="shared" si="6"/>
        <v>27</v>
      </c>
      <c r="Q15" s="20">
        <f t="shared" si="7"/>
        <v>108</v>
      </c>
      <c r="R15" s="23">
        <f t="shared" si="8"/>
        <v>300</v>
      </c>
      <c r="S15" s="23">
        <v>0.5</v>
      </c>
      <c r="T15" s="23">
        <f t="shared" si="9"/>
        <v>57</v>
      </c>
      <c r="U15" s="23">
        <f t="shared" si="10"/>
        <v>150</v>
      </c>
      <c r="V15" s="7">
        <v>100</v>
      </c>
      <c r="W15" s="8">
        <f t="shared" si="11"/>
        <v>250</v>
      </c>
    </row>
    <row r="16" spans="1:23" x14ac:dyDescent="0.3">
      <c r="A16" s="24">
        <v>217</v>
      </c>
      <c r="B16" s="24" t="s">
        <v>16</v>
      </c>
      <c r="C16" s="7" t="s">
        <v>83</v>
      </c>
      <c r="D16" s="24">
        <v>86</v>
      </c>
      <c r="E16" s="5">
        <v>140</v>
      </c>
      <c r="F16" s="17">
        <f>Table1[[#This Row],[KPI-1]]*70/100</f>
        <v>98</v>
      </c>
      <c r="G16" s="17">
        <v>0.2</v>
      </c>
      <c r="H16" s="17">
        <f t="shared" si="0"/>
        <v>12</v>
      </c>
      <c r="I16" s="17">
        <f t="shared" si="1"/>
        <v>19.600000000000001</v>
      </c>
      <c r="J16" s="6">
        <f t="shared" si="2"/>
        <v>112</v>
      </c>
      <c r="K16" s="6">
        <v>0.3</v>
      </c>
      <c r="L16" s="6">
        <f t="shared" si="3"/>
        <v>26</v>
      </c>
      <c r="M16" s="6">
        <f t="shared" si="4"/>
        <v>33.6</v>
      </c>
      <c r="N16" s="20">
        <f t="shared" si="5"/>
        <v>126</v>
      </c>
      <c r="O16" s="20">
        <v>0.4</v>
      </c>
      <c r="P16" s="20">
        <f t="shared" si="6"/>
        <v>40</v>
      </c>
      <c r="Q16" s="20">
        <f t="shared" si="7"/>
        <v>50.400000000000006</v>
      </c>
      <c r="R16" s="23">
        <f t="shared" si="8"/>
        <v>140</v>
      </c>
      <c r="S16" s="23">
        <v>0.5</v>
      </c>
      <c r="T16" s="23">
        <f t="shared" si="9"/>
        <v>54</v>
      </c>
      <c r="U16" s="23">
        <f t="shared" si="10"/>
        <v>70</v>
      </c>
      <c r="V16" s="7">
        <v>100</v>
      </c>
      <c r="W16" s="8">
        <f t="shared" si="11"/>
        <v>170</v>
      </c>
    </row>
    <row r="17" spans="1:23" x14ac:dyDescent="0.3">
      <c r="A17" s="24">
        <v>32</v>
      </c>
      <c r="B17" s="24" t="s">
        <v>17</v>
      </c>
      <c r="C17" s="7" t="s">
        <v>84</v>
      </c>
      <c r="D17" s="24">
        <v>332</v>
      </c>
      <c r="E17" s="5">
        <v>370</v>
      </c>
      <c r="F17" s="17">
        <f>Table1[[#This Row],[KPI-1]]*70/100</f>
        <v>259</v>
      </c>
      <c r="G17" s="17">
        <v>0.2</v>
      </c>
      <c r="H17" s="17">
        <f t="shared" si="0"/>
        <v>-73</v>
      </c>
      <c r="I17" s="17">
        <f t="shared" si="1"/>
        <v>51.800000000000004</v>
      </c>
      <c r="J17" s="6">
        <f t="shared" si="2"/>
        <v>296</v>
      </c>
      <c r="K17" s="6">
        <v>0.3</v>
      </c>
      <c r="L17" s="6">
        <f t="shared" si="3"/>
        <v>-36</v>
      </c>
      <c r="M17" s="6">
        <f t="shared" si="4"/>
        <v>88.8</v>
      </c>
      <c r="N17" s="20">
        <f t="shared" si="5"/>
        <v>333</v>
      </c>
      <c r="O17" s="20">
        <v>0.4</v>
      </c>
      <c r="P17" s="20">
        <f t="shared" si="6"/>
        <v>1</v>
      </c>
      <c r="Q17" s="20">
        <f t="shared" si="7"/>
        <v>133.20000000000002</v>
      </c>
      <c r="R17" s="23">
        <f t="shared" si="8"/>
        <v>370</v>
      </c>
      <c r="S17" s="23">
        <v>0.5</v>
      </c>
      <c r="T17" s="23">
        <f t="shared" si="9"/>
        <v>38</v>
      </c>
      <c r="U17" s="23">
        <f t="shared" si="10"/>
        <v>185</v>
      </c>
      <c r="V17" s="7">
        <v>100</v>
      </c>
      <c r="W17" s="8">
        <f t="shared" si="11"/>
        <v>285</v>
      </c>
    </row>
    <row r="18" spans="1:23" x14ac:dyDescent="0.3">
      <c r="A18" s="24">
        <v>220</v>
      </c>
      <c r="B18" s="24" t="s">
        <v>18</v>
      </c>
      <c r="C18" s="7" t="s">
        <v>82</v>
      </c>
      <c r="D18" s="24">
        <v>266</v>
      </c>
      <c r="E18" s="5">
        <v>310</v>
      </c>
      <c r="F18" s="17">
        <f>Table1[[#This Row],[KPI-1]]*70/100</f>
        <v>217</v>
      </c>
      <c r="G18" s="17">
        <v>0.2</v>
      </c>
      <c r="H18" s="17">
        <f t="shared" si="0"/>
        <v>-49</v>
      </c>
      <c r="I18" s="17">
        <f t="shared" si="1"/>
        <v>43.400000000000006</v>
      </c>
      <c r="J18" s="6">
        <f t="shared" si="2"/>
        <v>248</v>
      </c>
      <c r="K18" s="6">
        <v>0.3</v>
      </c>
      <c r="L18" s="6">
        <f t="shared" si="3"/>
        <v>-18</v>
      </c>
      <c r="M18" s="6">
        <f t="shared" si="4"/>
        <v>74.399999999999991</v>
      </c>
      <c r="N18" s="20">
        <f t="shared" si="5"/>
        <v>279</v>
      </c>
      <c r="O18" s="20">
        <v>0.4</v>
      </c>
      <c r="P18" s="20">
        <f t="shared" si="6"/>
        <v>13</v>
      </c>
      <c r="Q18" s="20">
        <f t="shared" si="7"/>
        <v>111.60000000000001</v>
      </c>
      <c r="R18" s="23">
        <f t="shared" si="8"/>
        <v>310</v>
      </c>
      <c r="S18" s="23">
        <v>0.5</v>
      </c>
      <c r="T18" s="23">
        <f t="shared" si="9"/>
        <v>44</v>
      </c>
      <c r="U18" s="23">
        <f t="shared" si="10"/>
        <v>155</v>
      </c>
      <c r="V18" s="7">
        <v>100</v>
      </c>
      <c r="W18" s="8">
        <f t="shared" si="11"/>
        <v>255</v>
      </c>
    </row>
    <row r="19" spans="1:23" x14ac:dyDescent="0.3">
      <c r="A19" s="24">
        <v>189</v>
      </c>
      <c r="B19" s="24" t="s">
        <v>19</v>
      </c>
      <c r="C19" s="7" t="s">
        <v>89</v>
      </c>
      <c r="D19" s="24">
        <v>308</v>
      </c>
      <c r="E19" s="5">
        <v>340</v>
      </c>
      <c r="F19" s="17">
        <f>Table1[[#This Row],[KPI-1]]*70/100</f>
        <v>238</v>
      </c>
      <c r="G19" s="17">
        <v>0.2</v>
      </c>
      <c r="H19" s="17">
        <f t="shared" si="0"/>
        <v>-70</v>
      </c>
      <c r="I19" s="17">
        <f t="shared" si="1"/>
        <v>47.6</v>
      </c>
      <c r="J19" s="6">
        <f t="shared" si="2"/>
        <v>272</v>
      </c>
      <c r="K19" s="6">
        <v>0.3</v>
      </c>
      <c r="L19" s="6">
        <f t="shared" si="3"/>
        <v>-36</v>
      </c>
      <c r="M19" s="6">
        <f t="shared" si="4"/>
        <v>81.599999999999994</v>
      </c>
      <c r="N19" s="20">
        <f t="shared" si="5"/>
        <v>306</v>
      </c>
      <c r="O19" s="20">
        <v>0.4</v>
      </c>
      <c r="P19" s="20">
        <f t="shared" si="6"/>
        <v>-2</v>
      </c>
      <c r="Q19" s="20">
        <f t="shared" si="7"/>
        <v>122.4</v>
      </c>
      <c r="R19" s="23">
        <f t="shared" si="8"/>
        <v>340</v>
      </c>
      <c r="S19" s="23">
        <v>0.5</v>
      </c>
      <c r="T19" s="23">
        <f t="shared" si="9"/>
        <v>32</v>
      </c>
      <c r="U19" s="23">
        <f t="shared" si="10"/>
        <v>170</v>
      </c>
      <c r="V19" s="7">
        <v>100</v>
      </c>
      <c r="W19" s="8">
        <f t="shared" si="11"/>
        <v>270</v>
      </c>
    </row>
    <row r="20" spans="1:23" x14ac:dyDescent="0.3">
      <c r="A20" s="24">
        <v>128</v>
      </c>
      <c r="B20" s="24" t="s">
        <v>20</v>
      </c>
      <c r="C20" s="7" t="s">
        <v>86</v>
      </c>
      <c r="D20" s="24">
        <v>250</v>
      </c>
      <c r="E20" s="5">
        <v>300</v>
      </c>
      <c r="F20" s="17">
        <f>Table1[[#This Row],[KPI-1]]*70/100</f>
        <v>210</v>
      </c>
      <c r="G20" s="17">
        <v>0.2</v>
      </c>
      <c r="H20" s="17">
        <f t="shared" si="0"/>
        <v>-40</v>
      </c>
      <c r="I20" s="17">
        <f t="shared" si="1"/>
        <v>42</v>
      </c>
      <c r="J20" s="6">
        <f t="shared" si="2"/>
        <v>240</v>
      </c>
      <c r="K20" s="6">
        <v>0.3</v>
      </c>
      <c r="L20" s="6">
        <f t="shared" si="3"/>
        <v>-10</v>
      </c>
      <c r="M20" s="6">
        <f t="shared" si="4"/>
        <v>72</v>
      </c>
      <c r="N20" s="20">
        <f t="shared" si="5"/>
        <v>270</v>
      </c>
      <c r="O20" s="20">
        <v>0.4</v>
      </c>
      <c r="P20" s="20">
        <f t="shared" si="6"/>
        <v>20</v>
      </c>
      <c r="Q20" s="20">
        <f t="shared" si="7"/>
        <v>108</v>
      </c>
      <c r="R20" s="23">
        <f t="shared" si="8"/>
        <v>300</v>
      </c>
      <c r="S20" s="23">
        <v>0.5</v>
      </c>
      <c r="T20" s="23">
        <f t="shared" si="9"/>
        <v>50</v>
      </c>
      <c r="U20" s="23">
        <f t="shared" si="10"/>
        <v>150</v>
      </c>
      <c r="V20" s="7">
        <v>100</v>
      </c>
      <c r="W20" s="8">
        <f t="shared" si="11"/>
        <v>250</v>
      </c>
    </row>
    <row r="21" spans="1:23" x14ac:dyDescent="0.3">
      <c r="A21" s="24">
        <v>61</v>
      </c>
      <c r="B21" s="24" t="s">
        <v>21</v>
      </c>
      <c r="C21" s="7" t="s">
        <v>81</v>
      </c>
      <c r="D21" s="24">
        <v>169</v>
      </c>
      <c r="E21" s="5">
        <v>230</v>
      </c>
      <c r="F21" s="17">
        <f>Table1[[#This Row],[KPI-1]]*70/100</f>
        <v>161</v>
      </c>
      <c r="G21" s="17">
        <v>0.2</v>
      </c>
      <c r="H21" s="17">
        <f t="shared" si="0"/>
        <v>-8</v>
      </c>
      <c r="I21" s="17">
        <f t="shared" si="1"/>
        <v>32.200000000000003</v>
      </c>
      <c r="J21" s="6">
        <f t="shared" si="2"/>
        <v>184</v>
      </c>
      <c r="K21" s="6">
        <v>0.3</v>
      </c>
      <c r="L21" s="6">
        <f t="shared" si="3"/>
        <v>15</v>
      </c>
      <c r="M21" s="6">
        <f t="shared" si="4"/>
        <v>55.199999999999996</v>
      </c>
      <c r="N21" s="20">
        <f t="shared" si="5"/>
        <v>207</v>
      </c>
      <c r="O21" s="20">
        <v>0.4</v>
      </c>
      <c r="P21" s="20">
        <f t="shared" si="6"/>
        <v>38</v>
      </c>
      <c r="Q21" s="20">
        <f t="shared" si="7"/>
        <v>82.800000000000011</v>
      </c>
      <c r="R21" s="23">
        <f t="shared" si="8"/>
        <v>230</v>
      </c>
      <c r="S21" s="23">
        <v>0.5</v>
      </c>
      <c r="T21" s="23">
        <f t="shared" si="9"/>
        <v>61</v>
      </c>
      <c r="U21" s="23">
        <f t="shared" si="10"/>
        <v>115</v>
      </c>
      <c r="V21" s="7">
        <v>100</v>
      </c>
      <c r="W21" s="8">
        <f t="shared" si="11"/>
        <v>215</v>
      </c>
    </row>
    <row r="22" spans="1:23" x14ac:dyDescent="0.3">
      <c r="A22" s="24">
        <v>212</v>
      </c>
      <c r="B22" s="24" t="s">
        <v>22</v>
      </c>
      <c r="C22" s="7" t="s">
        <v>85</v>
      </c>
      <c r="D22" s="24">
        <v>75</v>
      </c>
      <c r="E22" s="5">
        <v>120</v>
      </c>
      <c r="F22" s="17">
        <f>Table1[[#This Row],[KPI-1]]*70/100</f>
        <v>84</v>
      </c>
      <c r="G22" s="17">
        <v>0.2</v>
      </c>
      <c r="H22" s="17">
        <f t="shared" si="0"/>
        <v>9</v>
      </c>
      <c r="I22" s="17">
        <f t="shared" si="1"/>
        <v>16.8</v>
      </c>
      <c r="J22" s="6">
        <f t="shared" si="2"/>
        <v>96</v>
      </c>
      <c r="K22" s="6">
        <v>0.3</v>
      </c>
      <c r="L22" s="6">
        <f t="shared" si="3"/>
        <v>21</v>
      </c>
      <c r="M22" s="6">
        <f t="shared" si="4"/>
        <v>28.799999999999997</v>
      </c>
      <c r="N22" s="20">
        <f t="shared" si="5"/>
        <v>108</v>
      </c>
      <c r="O22" s="20">
        <v>0.4</v>
      </c>
      <c r="P22" s="20">
        <f t="shared" si="6"/>
        <v>33</v>
      </c>
      <c r="Q22" s="20">
        <f t="shared" si="7"/>
        <v>43.2</v>
      </c>
      <c r="R22" s="23">
        <f t="shared" si="8"/>
        <v>120</v>
      </c>
      <c r="S22" s="23">
        <v>0.5</v>
      </c>
      <c r="T22" s="23">
        <f t="shared" si="9"/>
        <v>45</v>
      </c>
      <c r="U22" s="23">
        <f t="shared" si="10"/>
        <v>60</v>
      </c>
      <c r="V22" s="7">
        <v>100</v>
      </c>
      <c r="W22" s="8">
        <f t="shared" si="11"/>
        <v>160</v>
      </c>
    </row>
    <row r="23" spans="1:23" x14ac:dyDescent="0.3">
      <c r="A23" s="24">
        <v>25</v>
      </c>
      <c r="B23" s="24" t="s">
        <v>23</v>
      </c>
      <c r="C23" s="7" t="s">
        <v>83</v>
      </c>
      <c r="D23" s="24">
        <v>225</v>
      </c>
      <c r="E23" s="5">
        <v>280</v>
      </c>
      <c r="F23" s="17">
        <f>Table1[[#This Row],[KPI-1]]*70/100</f>
        <v>196</v>
      </c>
      <c r="G23" s="17">
        <v>0.2</v>
      </c>
      <c r="H23" s="17">
        <f t="shared" si="0"/>
        <v>-29</v>
      </c>
      <c r="I23" s="17">
        <f t="shared" si="1"/>
        <v>39.200000000000003</v>
      </c>
      <c r="J23" s="6">
        <f t="shared" si="2"/>
        <v>224</v>
      </c>
      <c r="K23" s="6">
        <v>0.3</v>
      </c>
      <c r="L23" s="6">
        <f t="shared" si="3"/>
        <v>-1</v>
      </c>
      <c r="M23" s="6">
        <f t="shared" si="4"/>
        <v>67.2</v>
      </c>
      <c r="N23" s="20">
        <f t="shared" si="5"/>
        <v>252</v>
      </c>
      <c r="O23" s="20">
        <v>0.4</v>
      </c>
      <c r="P23" s="20">
        <f t="shared" si="6"/>
        <v>27</v>
      </c>
      <c r="Q23" s="20">
        <f t="shared" si="7"/>
        <v>100.80000000000001</v>
      </c>
      <c r="R23" s="23">
        <f t="shared" si="8"/>
        <v>280</v>
      </c>
      <c r="S23" s="23">
        <v>0.5</v>
      </c>
      <c r="T23" s="23">
        <f t="shared" si="9"/>
        <v>55</v>
      </c>
      <c r="U23" s="23">
        <f t="shared" si="10"/>
        <v>140</v>
      </c>
      <c r="V23" s="7">
        <v>100</v>
      </c>
      <c r="W23" s="8">
        <f t="shared" si="11"/>
        <v>240</v>
      </c>
    </row>
    <row r="24" spans="1:23" x14ac:dyDescent="0.3">
      <c r="A24" s="24">
        <v>67</v>
      </c>
      <c r="B24" s="24" t="s">
        <v>24</v>
      </c>
      <c r="C24" s="7" t="s">
        <v>85</v>
      </c>
      <c r="D24" s="24">
        <v>125</v>
      </c>
      <c r="E24" s="5">
        <v>200</v>
      </c>
      <c r="F24" s="17">
        <f>Table1[[#This Row],[KPI-1]]*70/100</f>
        <v>140</v>
      </c>
      <c r="G24" s="17">
        <v>0.2</v>
      </c>
      <c r="H24" s="17">
        <f t="shared" si="0"/>
        <v>15</v>
      </c>
      <c r="I24" s="17">
        <f t="shared" si="1"/>
        <v>28</v>
      </c>
      <c r="J24" s="6">
        <f t="shared" si="2"/>
        <v>160</v>
      </c>
      <c r="K24" s="6">
        <v>0.3</v>
      </c>
      <c r="L24" s="6">
        <f t="shared" si="3"/>
        <v>35</v>
      </c>
      <c r="M24" s="6">
        <f t="shared" si="4"/>
        <v>48</v>
      </c>
      <c r="N24" s="20">
        <f t="shared" si="5"/>
        <v>180</v>
      </c>
      <c r="O24" s="20">
        <v>0.4</v>
      </c>
      <c r="P24" s="20">
        <f t="shared" si="6"/>
        <v>55</v>
      </c>
      <c r="Q24" s="20">
        <f t="shared" si="7"/>
        <v>72</v>
      </c>
      <c r="R24" s="23">
        <f t="shared" si="8"/>
        <v>200</v>
      </c>
      <c r="S24" s="23">
        <v>0.5</v>
      </c>
      <c r="T24" s="23">
        <f t="shared" si="9"/>
        <v>75</v>
      </c>
      <c r="U24" s="23">
        <f t="shared" si="10"/>
        <v>100</v>
      </c>
      <c r="V24" s="7">
        <v>100</v>
      </c>
      <c r="W24" s="8">
        <f t="shared" si="11"/>
        <v>200</v>
      </c>
    </row>
    <row r="25" spans="1:23" x14ac:dyDescent="0.3">
      <c r="A25" s="24">
        <v>164</v>
      </c>
      <c r="B25" s="24" t="s">
        <v>25</v>
      </c>
      <c r="C25" s="7" t="s">
        <v>89</v>
      </c>
      <c r="D25" s="24">
        <v>165</v>
      </c>
      <c r="E25" s="5">
        <v>210</v>
      </c>
      <c r="F25" s="17">
        <f>Table1[[#This Row],[KPI-1]]*70/100</f>
        <v>147</v>
      </c>
      <c r="G25" s="17">
        <v>0.2</v>
      </c>
      <c r="H25" s="17">
        <f t="shared" si="0"/>
        <v>-18</v>
      </c>
      <c r="I25" s="17">
        <f t="shared" si="1"/>
        <v>29.400000000000002</v>
      </c>
      <c r="J25" s="6">
        <f t="shared" si="2"/>
        <v>168</v>
      </c>
      <c r="K25" s="6">
        <v>0.3</v>
      </c>
      <c r="L25" s="6">
        <f t="shared" si="3"/>
        <v>3</v>
      </c>
      <c r="M25" s="6">
        <f t="shared" si="4"/>
        <v>50.4</v>
      </c>
      <c r="N25" s="20">
        <f t="shared" si="5"/>
        <v>189</v>
      </c>
      <c r="O25" s="20">
        <v>0.4</v>
      </c>
      <c r="P25" s="20">
        <f t="shared" si="6"/>
        <v>24</v>
      </c>
      <c r="Q25" s="20">
        <f t="shared" si="7"/>
        <v>75.600000000000009</v>
      </c>
      <c r="R25" s="23">
        <f t="shared" si="8"/>
        <v>210</v>
      </c>
      <c r="S25" s="23">
        <v>0.5</v>
      </c>
      <c r="T25" s="23">
        <f t="shared" si="9"/>
        <v>45</v>
      </c>
      <c r="U25" s="23">
        <f t="shared" si="10"/>
        <v>105</v>
      </c>
      <c r="V25" s="7">
        <v>100</v>
      </c>
      <c r="W25" s="8">
        <f t="shared" si="11"/>
        <v>205</v>
      </c>
    </row>
    <row r="26" spans="1:23" x14ac:dyDescent="0.3">
      <c r="A26" s="24">
        <v>146</v>
      </c>
      <c r="B26" s="24" t="s">
        <v>26</v>
      </c>
      <c r="C26" s="7" t="s">
        <v>87</v>
      </c>
      <c r="D26" s="24">
        <v>128</v>
      </c>
      <c r="E26" s="5">
        <v>200</v>
      </c>
      <c r="F26" s="17">
        <f>Table1[[#This Row],[KPI-1]]*70/100</f>
        <v>140</v>
      </c>
      <c r="G26" s="17">
        <v>0.2</v>
      </c>
      <c r="H26" s="17">
        <f t="shared" si="0"/>
        <v>12</v>
      </c>
      <c r="I26" s="17">
        <f t="shared" si="1"/>
        <v>28</v>
      </c>
      <c r="J26" s="6">
        <f t="shared" si="2"/>
        <v>160</v>
      </c>
      <c r="K26" s="6">
        <v>0.3</v>
      </c>
      <c r="L26" s="6">
        <f t="shared" si="3"/>
        <v>32</v>
      </c>
      <c r="M26" s="6">
        <f t="shared" si="4"/>
        <v>48</v>
      </c>
      <c r="N26" s="20">
        <f t="shared" si="5"/>
        <v>180</v>
      </c>
      <c r="O26" s="20">
        <v>0.4</v>
      </c>
      <c r="P26" s="20">
        <f t="shared" si="6"/>
        <v>52</v>
      </c>
      <c r="Q26" s="20">
        <f t="shared" si="7"/>
        <v>72</v>
      </c>
      <c r="R26" s="23">
        <f t="shared" si="8"/>
        <v>200</v>
      </c>
      <c r="S26" s="23">
        <v>0.5</v>
      </c>
      <c r="T26" s="23">
        <f t="shared" si="9"/>
        <v>72</v>
      </c>
      <c r="U26" s="23">
        <f t="shared" si="10"/>
        <v>100</v>
      </c>
      <c r="V26" s="7">
        <v>100</v>
      </c>
      <c r="W26" s="8">
        <f t="shared" si="11"/>
        <v>200</v>
      </c>
    </row>
    <row r="27" spans="1:23" x14ac:dyDescent="0.3">
      <c r="A27" s="24">
        <v>170</v>
      </c>
      <c r="B27" s="24" t="s">
        <v>27</v>
      </c>
      <c r="C27" s="7" t="s">
        <v>83</v>
      </c>
      <c r="D27" s="24">
        <v>98</v>
      </c>
      <c r="E27" s="5">
        <v>150</v>
      </c>
      <c r="F27" s="17">
        <f>Table1[[#This Row],[KPI-1]]*70/100</f>
        <v>105</v>
      </c>
      <c r="G27" s="17">
        <v>0.2</v>
      </c>
      <c r="H27" s="17">
        <f t="shared" si="0"/>
        <v>7</v>
      </c>
      <c r="I27" s="17">
        <f t="shared" si="1"/>
        <v>21</v>
      </c>
      <c r="J27" s="6">
        <f t="shared" si="2"/>
        <v>120</v>
      </c>
      <c r="K27" s="6">
        <v>0.3</v>
      </c>
      <c r="L27" s="6">
        <f t="shared" si="3"/>
        <v>22</v>
      </c>
      <c r="M27" s="6">
        <f t="shared" si="4"/>
        <v>36</v>
      </c>
      <c r="N27" s="20">
        <f t="shared" si="5"/>
        <v>135</v>
      </c>
      <c r="O27" s="20">
        <v>0.4</v>
      </c>
      <c r="P27" s="20">
        <f t="shared" si="6"/>
        <v>37</v>
      </c>
      <c r="Q27" s="20">
        <f t="shared" si="7"/>
        <v>54</v>
      </c>
      <c r="R27" s="23">
        <f t="shared" si="8"/>
        <v>150</v>
      </c>
      <c r="S27" s="23">
        <v>0.5</v>
      </c>
      <c r="T27" s="23">
        <f t="shared" si="9"/>
        <v>52</v>
      </c>
      <c r="U27" s="23">
        <f t="shared" si="10"/>
        <v>75</v>
      </c>
      <c r="V27" s="7">
        <v>100</v>
      </c>
      <c r="W27" s="8">
        <f t="shared" si="11"/>
        <v>175</v>
      </c>
    </row>
    <row r="28" spans="1:23" x14ac:dyDescent="0.3">
      <c r="A28" s="24">
        <v>191</v>
      </c>
      <c r="B28" s="24" t="s">
        <v>28</v>
      </c>
      <c r="C28" s="7" t="s">
        <v>89</v>
      </c>
      <c r="D28" s="24">
        <v>112</v>
      </c>
      <c r="E28" s="5">
        <v>150</v>
      </c>
      <c r="F28" s="17">
        <f>Table1[[#This Row],[KPI-1]]*70/100</f>
        <v>105</v>
      </c>
      <c r="G28" s="17">
        <v>0.2</v>
      </c>
      <c r="H28" s="17">
        <f t="shared" si="0"/>
        <v>-7</v>
      </c>
      <c r="I28" s="17">
        <f t="shared" si="1"/>
        <v>21</v>
      </c>
      <c r="J28" s="6">
        <f t="shared" si="2"/>
        <v>120</v>
      </c>
      <c r="K28" s="6">
        <v>0.3</v>
      </c>
      <c r="L28" s="6">
        <f t="shared" si="3"/>
        <v>8</v>
      </c>
      <c r="M28" s="6">
        <f t="shared" si="4"/>
        <v>36</v>
      </c>
      <c r="N28" s="20">
        <f t="shared" si="5"/>
        <v>135</v>
      </c>
      <c r="O28" s="20">
        <v>0.4</v>
      </c>
      <c r="P28" s="20">
        <f t="shared" si="6"/>
        <v>23</v>
      </c>
      <c r="Q28" s="20">
        <f t="shared" si="7"/>
        <v>54</v>
      </c>
      <c r="R28" s="23">
        <f t="shared" si="8"/>
        <v>150</v>
      </c>
      <c r="S28" s="23">
        <v>0.5</v>
      </c>
      <c r="T28" s="23">
        <f t="shared" si="9"/>
        <v>38</v>
      </c>
      <c r="U28" s="23">
        <f t="shared" si="10"/>
        <v>75</v>
      </c>
      <c r="V28" s="7">
        <v>100</v>
      </c>
      <c r="W28" s="8">
        <f t="shared" si="11"/>
        <v>175</v>
      </c>
    </row>
    <row r="29" spans="1:23" x14ac:dyDescent="0.3">
      <c r="A29" s="24">
        <v>50</v>
      </c>
      <c r="B29" s="24" t="s">
        <v>29</v>
      </c>
      <c r="C29" s="7" t="s">
        <v>82</v>
      </c>
      <c r="D29" s="24">
        <v>207</v>
      </c>
      <c r="E29" s="5">
        <v>260</v>
      </c>
      <c r="F29" s="17">
        <f>Table1[[#This Row],[KPI-1]]*70/100</f>
        <v>182</v>
      </c>
      <c r="G29" s="17">
        <v>0.2</v>
      </c>
      <c r="H29" s="17">
        <f t="shared" si="0"/>
        <v>-25</v>
      </c>
      <c r="I29" s="17">
        <f t="shared" si="1"/>
        <v>36.4</v>
      </c>
      <c r="J29" s="6">
        <f t="shared" si="2"/>
        <v>208</v>
      </c>
      <c r="K29" s="6">
        <v>0.3</v>
      </c>
      <c r="L29" s="6">
        <f t="shared" si="3"/>
        <v>1</v>
      </c>
      <c r="M29" s="6">
        <f t="shared" si="4"/>
        <v>62.4</v>
      </c>
      <c r="N29" s="20">
        <f t="shared" si="5"/>
        <v>234</v>
      </c>
      <c r="O29" s="20">
        <v>0.4</v>
      </c>
      <c r="P29" s="20">
        <f t="shared" si="6"/>
        <v>27</v>
      </c>
      <c r="Q29" s="20">
        <f t="shared" si="7"/>
        <v>93.600000000000009</v>
      </c>
      <c r="R29" s="23">
        <f t="shared" si="8"/>
        <v>260</v>
      </c>
      <c r="S29" s="23">
        <v>0.5</v>
      </c>
      <c r="T29" s="23">
        <f t="shared" si="9"/>
        <v>53</v>
      </c>
      <c r="U29" s="23">
        <f t="shared" si="10"/>
        <v>130</v>
      </c>
      <c r="V29" s="7">
        <v>100</v>
      </c>
      <c r="W29" s="8">
        <f t="shared" si="11"/>
        <v>230</v>
      </c>
    </row>
    <row r="30" spans="1:23" x14ac:dyDescent="0.3">
      <c r="A30" s="24">
        <v>211</v>
      </c>
      <c r="B30" s="24" t="s">
        <v>30</v>
      </c>
      <c r="C30" s="7" t="s">
        <v>88</v>
      </c>
      <c r="D30" s="24">
        <v>195</v>
      </c>
      <c r="E30" s="5">
        <v>250</v>
      </c>
      <c r="F30" s="17">
        <f>Table1[[#This Row],[KPI-1]]*70/100</f>
        <v>175</v>
      </c>
      <c r="G30" s="17">
        <v>0.2</v>
      </c>
      <c r="H30" s="17">
        <f t="shared" si="0"/>
        <v>-20</v>
      </c>
      <c r="I30" s="17">
        <f t="shared" si="1"/>
        <v>35</v>
      </c>
      <c r="J30" s="6">
        <f t="shared" si="2"/>
        <v>200</v>
      </c>
      <c r="K30" s="6">
        <v>0.3</v>
      </c>
      <c r="L30" s="6">
        <f t="shared" si="3"/>
        <v>5</v>
      </c>
      <c r="M30" s="6">
        <f t="shared" si="4"/>
        <v>60</v>
      </c>
      <c r="N30" s="20">
        <f t="shared" si="5"/>
        <v>225</v>
      </c>
      <c r="O30" s="20">
        <v>0.4</v>
      </c>
      <c r="P30" s="20">
        <f t="shared" si="6"/>
        <v>30</v>
      </c>
      <c r="Q30" s="20">
        <f t="shared" si="7"/>
        <v>90</v>
      </c>
      <c r="R30" s="23">
        <f t="shared" si="8"/>
        <v>250</v>
      </c>
      <c r="S30" s="23">
        <v>0.5</v>
      </c>
      <c r="T30" s="23">
        <f t="shared" si="9"/>
        <v>55</v>
      </c>
      <c r="U30" s="23">
        <f t="shared" si="10"/>
        <v>125</v>
      </c>
      <c r="V30" s="7">
        <v>100</v>
      </c>
      <c r="W30" s="8">
        <f t="shared" si="11"/>
        <v>225</v>
      </c>
    </row>
    <row r="31" spans="1:23" x14ac:dyDescent="0.3">
      <c r="A31" s="24">
        <v>114</v>
      </c>
      <c r="B31" s="24" t="s">
        <v>31</v>
      </c>
      <c r="C31" s="7" t="s">
        <v>87</v>
      </c>
      <c r="D31" s="24">
        <v>139</v>
      </c>
      <c r="E31" s="5">
        <v>200</v>
      </c>
      <c r="F31" s="17">
        <f>Table1[[#This Row],[KPI-1]]*70/100</f>
        <v>140</v>
      </c>
      <c r="G31" s="17">
        <v>0.2</v>
      </c>
      <c r="H31" s="17">
        <f t="shared" si="0"/>
        <v>1</v>
      </c>
      <c r="I31" s="17">
        <f t="shared" si="1"/>
        <v>28</v>
      </c>
      <c r="J31" s="6">
        <f t="shared" si="2"/>
        <v>160</v>
      </c>
      <c r="K31" s="6">
        <v>0.3</v>
      </c>
      <c r="L31" s="6">
        <f t="shared" si="3"/>
        <v>21</v>
      </c>
      <c r="M31" s="6">
        <f t="shared" si="4"/>
        <v>48</v>
      </c>
      <c r="N31" s="20">
        <f t="shared" si="5"/>
        <v>180</v>
      </c>
      <c r="O31" s="20">
        <v>0.4</v>
      </c>
      <c r="P31" s="20">
        <f t="shared" si="6"/>
        <v>41</v>
      </c>
      <c r="Q31" s="20">
        <f t="shared" si="7"/>
        <v>72</v>
      </c>
      <c r="R31" s="23">
        <f t="shared" si="8"/>
        <v>200</v>
      </c>
      <c r="S31" s="23">
        <v>0.5</v>
      </c>
      <c r="T31" s="23">
        <f t="shared" si="9"/>
        <v>61</v>
      </c>
      <c r="U31" s="23">
        <f t="shared" si="10"/>
        <v>100</v>
      </c>
      <c r="V31" s="7">
        <v>100</v>
      </c>
      <c r="W31" s="8">
        <f t="shared" si="11"/>
        <v>200</v>
      </c>
    </row>
    <row r="32" spans="1:23" x14ac:dyDescent="0.3">
      <c r="A32" s="24">
        <v>208</v>
      </c>
      <c r="B32" s="24" t="s">
        <v>32</v>
      </c>
      <c r="C32" s="7" t="s">
        <v>89</v>
      </c>
      <c r="D32" s="24">
        <v>75</v>
      </c>
      <c r="E32" s="5">
        <v>130</v>
      </c>
      <c r="F32" s="17">
        <f>Table1[[#This Row],[KPI-1]]*70/100</f>
        <v>91</v>
      </c>
      <c r="G32" s="17">
        <v>0.2</v>
      </c>
      <c r="H32" s="17">
        <f t="shared" si="0"/>
        <v>16</v>
      </c>
      <c r="I32" s="17">
        <f t="shared" si="1"/>
        <v>18.2</v>
      </c>
      <c r="J32" s="6">
        <f t="shared" si="2"/>
        <v>104</v>
      </c>
      <c r="K32" s="6">
        <v>0.3</v>
      </c>
      <c r="L32" s="6">
        <f t="shared" si="3"/>
        <v>29</v>
      </c>
      <c r="M32" s="6">
        <f t="shared" si="4"/>
        <v>31.2</v>
      </c>
      <c r="N32" s="20">
        <f t="shared" si="5"/>
        <v>117</v>
      </c>
      <c r="O32" s="20">
        <v>0.4</v>
      </c>
      <c r="P32" s="20">
        <f t="shared" si="6"/>
        <v>42</v>
      </c>
      <c r="Q32" s="20">
        <f t="shared" si="7"/>
        <v>46.800000000000004</v>
      </c>
      <c r="R32" s="23">
        <f t="shared" si="8"/>
        <v>130</v>
      </c>
      <c r="S32" s="23">
        <v>0.5</v>
      </c>
      <c r="T32" s="23">
        <f t="shared" si="9"/>
        <v>55</v>
      </c>
      <c r="U32" s="23">
        <f t="shared" si="10"/>
        <v>65</v>
      </c>
      <c r="V32" s="7">
        <v>100</v>
      </c>
      <c r="W32" s="8">
        <f t="shared" si="11"/>
        <v>165</v>
      </c>
    </row>
    <row r="33" spans="1:23" x14ac:dyDescent="0.3">
      <c r="A33" s="24">
        <v>44</v>
      </c>
      <c r="B33" s="24" t="s">
        <v>33</v>
      </c>
      <c r="C33" s="7" t="s">
        <v>83</v>
      </c>
      <c r="D33" s="24">
        <v>326</v>
      </c>
      <c r="E33" s="5">
        <v>370</v>
      </c>
      <c r="F33" s="17">
        <f>Table1[[#This Row],[KPI-1]]*70/100</f>
        <v>259</v>
      </c>
      <c r="G33" s="17">
        <v>0.2</v>
      </c>
      <c r="H33" s="17">
        <f t="shared" si="0"/>
        <v>-67</v>
      </c>
      <c r="I33" s="17">
        <f t="shared" si="1"/>
        <v>51.800000000000004</v>
      </c>
      <c r="J33" s="6">
        <f t="shared" si="2"/>
        <v>296</v>
      </c>
      <c r="K33" s="6">
        <v>0.3</v>
      </c>
      <c r="L33" s="6">
        <f t="shared" si="3"/>
        <v>-30</v>
      </c>
      <c r="M33" s="6">
        <f t="shared" si="4"/>
        <v>88.8</v>
      </c>
      <c r="N33" s="20">
        <f t="shared" si="5"/>
        <v>333</v>
      </c>
      <c r="O33" s="20">
        <v>0.4</v>
      </c>
      <c r="P33" s="20">
        <f t="shared" si="6"/>
        <v>7</v>
      </c>
      <c r="Q33" s="20">
        <f t="shared" si="7"/>
        <v>133.20000000000002</v>
      </c>
      <c r="R33" s="23">
        <f t="shared" si="8"/>
        <v>370</v>
      </c>
      <c r="S33" s="23">
        <v>0.5</v>
      </c>
      <c r="T33" s="23">
        <f t="shared" si="9"/>
        <v>44</v>
      </c>
      <c r="U33" s="23">
        <f t="shared" si="10"/>
        <v>185</v>
      </c>
      <c r="V33" s="7">
        <v>100</v>
      </c>
      <c r="W33" s="8">
        <f t="shared" si="11"/>
        <v>285</v>
      </c>
    </row>
    <row r="34" spans="1:23" x14ac:dyDescent="0.3">
      <c r="A34" s="24">
        <v>126</v>
      </c>
      <c r="B34" s="24" t="s">
        <v>34</v>
      </c>
      <c r="C34" s="7" t="s">
        <v>89</v>
      </c>
      <c r="D34" s="24">
        <v>185</v>
      </c>
      <c r="E34" s="5">
        <v>240</v>
      </c>
      <c r="F34" s="17">
        <f>Table1[[#This Row],[KPI-1]]*70/100</f>
        <v>168</v>
      </c>
      <c r="G34" s="17">
        <v>0.2</v>
      </c>
      <c r="H34" s="17">
        <f t="shared" ref="H34:H61" si="12">F34-D34</f>
        <v>-17</v>
      </c>
      <c r="I34" s="17">
        <f t="shared" ref="I34:I61" si="13">F34*G34</f>
        <v>33.6</v>
      </c>
      <c r="J34" s="6">
        <f t="shared" ref="J34:J61" si="14">E34*80/100</f>
        <v>192</v>
      </c>
      <c r="K34" s="6">
        <v>0.3</v>
      </c>
      <c r="L34" s="6">
        <f t="shared" ref="L34:L61" si="15">J34-D34</f>
        <v>7</v>
      </c>
      <c r="M34" s="6">
        <f t="shared" ref="M34:M61" si="16">J34*K34</f>
        <v>57.599999999999994</v>
      </c>
      <c r="N34" s="20">
        <f t="shared" ref="N34:N61" si="17">E34*90/100</f>
        <v>216</v>
      </c>
      <c r="O34" s="20">
        <v>0.4</v>
      </c>
      <c r="P34" s="20">
        <f t="shared" ref="P34:P61" si="18">N34-D34</f>
        <v>31</v>
      </c>
      <c r="Q34" s="20">
        <f t="shared" ref="Q34:Q61" si="19">N34*O34</f>
        <v>86.4</v>
      </c>
      <c r="R34" s="23">
        <f t="shared" ref="R34:R61" si="20">E34*100/100</f>
        <v>240</v>
      </c>
      <c r="S34" s="23">
        <v>0.5</v>
      </c>
      <c r="T34" s="23">
        <f t="shared" ref="T34:T61" si="21">R34-D34</f>
        <v>55</v>
      </c>
      <c r="U34" s="23">
        <f t="shared" ref="U34:U61" si="22">R34*S34</f>
        <v>120</v>
      </c>
      <c r="V34" s="7">
        <v>100</v>
      </c>
      <c r="W34" s="8">
        <f t="shared" ref="W34:W59" si="23">U34+V34</f>
        <v>220</v>
      </c>
    </row>
    <row r="35" spans="1:23" x14ac:dyDescent="0.3">
      <c r="A35" s="24">
        <v>190</v>
      </c>
      <c r="B35" s="24" t="s">
        <v>35</v>
      </c>
      <c r="C35" s="7" t="s">
        <v>87</v>
      </c>
      <c r="D35" s="24">
        <v>114</v>
      </c>
      <c r="E35" s="5">
        <v>170</v>
      </c>
      <c r="F35" s="17">
        <f>Table1[[#This Row],[KPI-1]]*70/100</f>
        <v>119</v>
      </c>
      <c r="G35" s="17">
        <v>0.2</v>
      </c>
      <c r="H35" s="17">
        <f t="shared" si="12"/>
        <v>5</v>
      </c>
      <c r="I35" s="17">
        <f t="shared" si="13"/>
        <v>23.8</v>
      </c>
      <c r="J35" s="6">
        <f t="shared" si="14"/>
        <v>136</v>
      </c>
      <c r="K35" s="6">
        <v>0.3</v>
      </c>
      <c r="L35" s="6">
        <f t="shared" si="15"/>
        <v>22</v>
      </c>
      <c r="M35" s="6">
        <f t="shared" si="16"/>
        <v>40.799999999999997</v>
      </c>
      <c r="N35" s="20">
        <f t="shared" si="17"/>
        <v>153</v>
      </c>
      <c r="O35" s="20">
        <v>0.4</v>
      </c>
      <c r="P35" s="20">
        <f t="shared" si="18"/>
        <v>39</v>
      </c>
      <c r="Q35" s="20">
        <f t="shared" si="19"/>
        <v>61.2</v>
      </c>
      <c r="R35" s="23">
        <f t="shared" si="20"/>
        <v>170</v>
      </c>
      <c r="S35" s="23">
        <v>0.5</v>
      </c>
      <c r="T35" s="23">
        <f t="shared" si="21"/>
        <v>56</v>
      </c>
      <c r="U35" s="23">
        <f t="shared" si="22"/>
        <v>85</v>
      </c>
      <c r="V35" s="7">
        <v>100</v>
      </c>
      <c r="W35" s="8">
        <f t="shared" si="23"/>
        <v>185</v>
      </c>
    </row>
    <row r="36" spans="1:23" x14ac:dyDescent="0.3">
      <c r="A36" s="24">
        <v>173</v>
      </c>
      <c r="B36" s="24" t="s">
        <v>36</v>
      </c>
      <c r="C36" s="7" t="s">
        <v>86</v>
      </c>
      <c r="D36" s="24">
        <v>107</v>
      </c>
      <c r="E36" s="5">
        <v>170</v>
      </c>
      <c r="F36" s="17">
        <f>Table1[[#This Row],[KPI-1]]*70/100</f>
        <v>119</v>
      </c>
      <c r="G36" s="17">
        <v>0.2</v>
      </c>
      <c r="H36" s="17">
        <f t="shared" si="12"/>
        <v>12</v>
      </c>
      <c r="I36" s="17">
        <f t="shared" si="13"/>
        <v>23.8</v>
      </c>
      <c r="J36" s="6">
        <f t="shared" si="14"/>
        <v>136</v>
      </c>
      <c r="K36" s="6">
        <v>0.3</v>
      </c>
      <c r="L36" s="6">
        <f t="shared" si="15"/>
        <v>29</v>
      </c>
      <c r="M36" s="6">
        <f t="shared" si="16"/>
        <v>40.799999999999997</v>
      </c>
      <c r="N36" s="20">
        <f t="shared" si="17"/>
        <v>153</v>
      </c>
      <c r="O36" s="20">
        <v>0.4</v>
      </c>
      <c r="P36" s="20">
        <f t="shared" si="18"/>
        <v>46</v>
      </c>
      <c r="Q36" s="20">
        <f t="shared" si="19"/>
        <v>61.2</v>
      </c>
      <c r="R36" s="23">
        <f t="shared" si="20"/>
        <v>170</v>
      </c>
      <c r="S36" s="23">
        <v>0.5</v>
      </c>
      <c r="T36" s="23">
        <f t="shared" si="21"/>
        <v>63</v>
      </c>
      <c r="U36" s="23">
        <f t="shared" si="22"/>
        <v>85</v>
      </c>
      <c r="V36" s="7">
        <v>100</v>
      </c>
      <c r="W36" s="8">
        <f t="shared" si="23"/>
        <v>185</v>
      </c>
    </row>
    <row r="37" spans="1:23" x14ac:dyDescent="0.3">
      <c r="A37" s="24">
        <v>197</v>
      </c>
      <c r="B37" s="24" t="s">
        <v>37</v>
      </c>
      <c r="C37" s="7" t="s">
        <v>86</v>
      </c>
      <c r="D37" s="24">
        <v>236</v>
      </c>
      <c r="E37" s="5">
        <v>290</v>
      </c>
      <c r="F37" s="17">
        <f>Table1[[#This Row],[KPI-1]]*70/100</f>
        <v>203</v>
      </c>
      <c r="G37" s="17">
        <v>0.2</v>
      </c>
      <c r="H37" s="17">
        <f t="shared" si="12"/>
        <v>-33</v>
      </c>
      <c r="I37" s="17">
        <f t="shared" si="13"/>
        <v>40.6</v>
      </c>
      <c r="J37" s="6">
        <f t="shared" si="14"/>
        <v>232</v>
      </c>
      <c r="K37" s="6">
        <v>0.3</v>
      </c>
      <c r="L37" s="6">
        <f t="shared" si="15"/>
        <v>-4</v>
      </c>
      <c r="M37" s="6">
        <f t="shared" si="16"/>
        <v>69.599999999999994</v>
      </c>
      <c r="N37" s="20">
        <f t="shared" si="17"/>
        <v>261</v>
      </c>
      <c r="O37" s="20">
        <v>0.4</v>
      </c>
      <c r="P37" s="20">
        <f t="shared" si="18"/>
        <v>25</v>
      </c>
      <c r="Q37" s="20">
        <f t="shared" si="19"/>
        <v>104.4</v>
      </c>
      <c r="R37" s="23">
        <f t="shared" si="20"/>
        <v>290</v>
      </c>
      <c r="S37" s="23">
        <v>0.5</v>
      </c>
      <c r="T37" s="23">
        <f t="shared" si="21"/>
        <v>54</v>
      </c>
      <c r="U37" s="23">
        <f t="shared" si="22"/>
        <v>145</v>
      </c>
      <c r="V37" s="7">
        <v>100</v>
      </c>
      <c r="W37" s="8">
        <f t="shared" si="23"/>
        <v>245</v>
      </c>
    </row>
    <row r="38" spans="1:23" x14ac:dyDescent="0.3">
      <c r="A38" s="24">
        <v>184</v>
      </c>
      <c r="B38" s="24" t="s">
        <v>38</v>
      </c>
      <c r="C38" s="7" t="s">
        <v>81</v>
      </c>
      <c r="D38" s="24">
        <v>50</v>
      </c>
      <c r="E38" s="5">
        <v>120</v>
      </c>
      <c r="F38" s="17">
        <f>Table1[[#This Row],[KPI-1]]*70/100</f>
        <v>84</v>
      </c>
      <c r="G38" s="17">
        <v>0.2</v>
      </c>
      <c r="H38" s="17">
        <f t="shared" si="12"/>
        <v>34</v>
      </c>
      <c r="I38" s="17">
        <f t="shared" si="13"/>
        <v>16.8</v>
      </c>
      <c r="J38" s="6">
        <f t="shared" si="14"/>
        <v>96</v>
      </c>
      <c r="K38" s="6">
        <v>0.3</v>
      </c>
      <c r="L38" s="6">
        <f t="shared" si="15"/>
        <v>46</v>
      </c>
      <c r="M38" s="6">
        <f t="shared" si="16"/>
        <v>28.799999999999997</v>
      </c>
      <c r="N38" s="20">
        <f t="shared" si="17"/>
        <v>108</v>
      </c>
      <c r="O38" s="20">
        <v>0.4</v>
      </c>
      <c r="P38" s="20">
        <f t="shared" si="18"/>
        <v>58</v>
      </c>
      <c r="Q38" s="20">
        <f t="shared" si="19"/>
        <v>43.2</v>
      </c>
      <c r="R38" s="23">
        <f t="shared" si="20"/>
        <v>120</v>
      </c>
      <c r="S38" s="23">
        <v>0.5</v>
      </c>
      <c r="T38" s="23">
        <f t="shared" si="21"/>
        <v>70</v>
      </c>
      <c r="U38" s="23">
        <f t="shared" si="22"/>
        <v>60</v>
      </c>
      <c r="V38" s="7">
        <v>100</v>
      </c>
      <c r="W38" s="8">
        <f t="shared" si="23"/>
        <v>160</v>
      </c>
    </row>
    <row r="39" spans="1:23" x14ac:dyDescent="0.3">
      <c r="A39" s="24">
        <v>200</v>
      </c>
      <c r="B39" s="24" t="s">
        <v>39</v>
      </c>
      <c r="C39" s="7" t="s">
        <v>86</v>
      </c>
      <c r="D39" s="24">
        <v>208</v>
      </c>
      <c r="E39" s="5">
        <v>260</v>
      </c>
      <c r="F39" s="17">
        <f>Table1[[#This Row],[KPI-1]]*70/100</f>
        <v>182</v>
      </c>
      <c r="G39" s="17">
        <v>0.2</v>
      </c>
      <c r="H39" s="17">
        <f t="shared" si="12"/>
        <v>-26</v>
      </c>
      <c r="I39" s="17">
        <f t="shared" si="13"/>
        <v>36.4</v>
      </c>
      <c r="J39" s="6">
        <f t="shared" si="14"/>
        <v>208</v>
      </c>
      <c r="K39" s="6">
        <v>0.3</v>
      </c>
      <c r="L39" s="6">
        <f t="shared" si="15"/>
        <v>0</v>
      </c>
      <c r="M39" s="6">
        <f t="shared" si="16"/>
        <v>62.4</v>
      </c>
      <c r="N39" s="20">
        <f t="shared" si="17"/>
        <v>234</v>
      </c>
      <c r="O39" s="20">
        <v>0.4</v>
      </c>
      <c r="P39" s="20">
        <f t="shared" si="18"/>
        <v>26</v>
      </c>
      <c r="Q39" s="20">
        <f t="shared" si="19"/>
        <v>93.600000000000009</v>
      </c>
      <c r="R39" s="23">
        <f t="shared" si="20"/>
        <v>260</v>
      </c>
      <c r="S39" s="23">
        <v>0.5</v>
      </c>
      <c r="T39" s="23">
        <f t="shared" si="21"/>
        <v>52</v>
      </c>
      <c r="U39" s="23">
        <f t="shared" si="22"/>
        <v>130</v>
      </c>
      <c r="V39" s="7">
        <v>100</v>
      </c>
      <c r="W39" s="8">
        <f t="shared" si="23"/>
        <v>230</v>
      </c>
    </row>
    <row r="40" spans="1:23" x14ac:dyDescent="0.3">
      <c r="A40" s="24">
        <v>100</v>
      </c>
      <c r="B40" s="24" t="s">
        <v>40</v>
      </c>
      <c r="C40" s="7" t="s">
        <v>89</v>
      </c>
      <c r="D40" s="24">
        <v>144</v>
      </c>
      <c r="E40" s="5">
        <v>200</v>
      </c>
      <c r="F40" s="17">
        <f>Table1[[#This Row],[KPI-1]]*70/100</f>
        <v>140</v>
      </c>
      <c r="G40" s="17">
        <v>0.2</v>
      </c>
      <c r="H40" s="17">
        <f t="shared" si="12"/>
        <v>-4</v>
      </c>
      <c r="I40" s="17">
        <f t="shared" si="13"/>
        <v>28</v>
      </c>
      <c r="J40" s="6">
        <f t="shared" si="14"/>
        <v>160</v>
      </c>
      <c r="K40" s="6">
        <v>0.3</v>
      </c>
      <c r="L40" s="6">
        <f t="shared" si="15"/>
        <v>16</v>
      </c>
      <c r="M40" s="6">
        <f t="shared" si="16"/>
        <v>48</v>
      </c>
      <c r="N40" s="20">
        <f t="shared" si="17"/>
        <v>180</v>
      </c>
      <c r="O40" s="20">
        <v>0.4</v>
      </c>
      <c r="P40" s="20">
        <f t="shared" si="18"/>
        <v>36</v>
      </c>
      <c r="Q40" s="20">
        <f t="shared" si="19"/>
        <v>72</v>
      </c>
      <c r="R40" s="23">
        <f t="shared" si="20"/>
        <v>200</v>
      </c>
      <c r="S40" s="23">
        <v>0.5</v>
      </c>
      <c r="T40" s="23">
        <f t="shared" si="21"/>
        <v>56</v>
      </c>
      <c r="U40" s="23">
        <f t="shared" si="22"/>
        <v>100</v>
      </c>
      <c r="V40" s="7">
        <v>100</v>
      </c>
      <c r="W40" s="8">
        <f t="shared" si="23"/>
        <v>200</v>
      </c>
    </row>
    <row r="41" spans="1:23" x14ac:dyDescent="0.3">
      <c r="A41" s="24">
        <v>227</v>
      </c>
      <c r="B41" s="24" t="s">
        <v>41</v>
      </c>
      <c r="C41" s="7" t="s">
        <v>81</v>
      </c>
      <c r="D41" s="24">
        <v>35</v>
      </c>
      <c r="E41" s="5">
        <v>120</v>
      </c>
      <c r="F41" s="17">
        <f>Table1[[#This Row],[KPI-1]]*70/100</f>
        <v>84</v>
      </c>
      <c r="G41" s="17">
        <v>0.2</v>
      </c>
      <c r="H41" s="17">
        <f t="shared" si="12"/>
        <v>49</v>
      </c>
      <c r="I41" s="17">
        <f t="shared" si="13"/>
        <v>16.8</v>
      </c>
      <c r="J41" s="6">
        <f t="shared" si="14"/>
        <v>96</v>
      </c>
      <c r="K41" s="6">
        <v>0.3</v>
      </c>
      <c r="L41" s="6">
        <f t="shared" si="15"/>
        <v>61</v>
      </c>
      <c r="M41" s="6">
        <f t="shared" si="16"/>
        <v>28.799999999999997</v>
      </c>
      <c r="N41" s="20">
        <f t="shared" si="17"/>
        <v>108</v>
      </c>
      <c r="O41" s="20">
        <v>0.4</v>
      </c>
      <c r="P41" s="20">
        <f t="shared" si="18"/>
        <v>73</v>
      </c>
      <c r="Q41" s="20">
        <f t="shared" si="19"/>
        <v>43.2</v>
      </c>
      <c r="R41" s="23">
        <f t="shared" si="20"/>
        <v>120</v>
      </c>
      <c r="S41" s="23">
        <v>0.5</v>
      </c>
      <c r="T41" s="23">
        <f t="shared" si="21"/>
        <v>85</v>
      </c>
      <c r="U41" s="23">
        <f t="shared" si="22"/>
        <v>60</v>
      </c>
      <c r="V41" s="7">
        <v>100</v>
      </c>
      <c r="W41" s="8">
        <f t="shared" si="23"/>
        <v>160</v>
      </c>
    </row>
    <row r="42" spans="1:23" x14ac:dyDescent="0.3">
      <c r="A42" s="24">
        <v>224</v>
      </c>
      <c r="B42" s="24" t="s">
        <v>42</v>
      </c>
      <c r="C42" s="7" t="s">
        <v>81</v>
      </c>
      <c r="D42" s="24">
        <v>139</v>
      </c>
      <c r="E42" s="5">
        <v>200</v>
      </c>
      <c r="F42" s="17">
        <f>Table1[[#This Row],[KPI-1]]*70/100</f>
        <v>140</v>
      </c>
      <c r="G42" s="17">
        <v>0.2</v>
      </c>
      <c r="H42" s="17">
        <f t="shared" si="12"/>
        <v>1</v>
      </c>
      <c r="I42" s="17">
        <f t="shared" si="13"/>
        <v>28</v>
      </c>
      <c r="J42" s="6">
        <f t="shared" si="14"/>
        <v>160</v>
      </c>
      <c r="K42" s="6">
        <v>0.3</v>
      </c>
      <c r="L42" s="6">
        <f t="shared" si="15"/>
        <v>21</v>
      </c>
      <c r="M42" s="6">
        <f t="shared" si="16"/>
        <v>48</v>
      </c>
      <c r="N42" s="20">
        <f t="shared" si="17"/>
        <v>180</v>
      </c>
      <c r="O42" s="20">
        <v>0.4</v>
      </c>
      <c r="P42" s="20">
        <f t="shared" si="18"/>
        <v>41</v>
      </c>
      <c r="Q42" s="20">
        <f t="shared" si="19"/>
        <v>72</v>
      </c>
      <c r="R42" s="23">
        <f t="shared" si="20"/>
        <v>200</v>
      </c>
      <c r="S42" s="23">
        <v>0.5</v>
      </c>
      <c r="T42" s="23">
        <f t="shared" si="21"/>
        <v>61</v>
      </c>
      <c r="U42" s="23">
        <f t="shared" si="22"/>
        <v>100</v>
      </c>
      <c r="V42" s="7">
        <v>100</v>
      </c>
      <c r="W42" s="8">
        <f t="shared" si="23"/>
        <v>200</v>
      </c>
    </row>
    <row r="43" spans="1:23" x14ac:dyDescent="0.3">
      <c r="A43" s="24">
        <v>34</v>
      </c>
      <c r="B43" s="24" t="s">
        <v>43</v>
      </c>
      <c r="C43" s="7" t="s">
        <v>82</v>
      </c>
      <c r="D43" s="24">
        <v>560</v>
      </c>
      <c r="E43" s="5">
        <v>600</v>
      </c>
      <c r="F43" s="17">
        <f>Table1[[#This Row],[KPI-1]]*70/100</f>
        <v>420</v>
      </c>
      <c r="G43" s="17">
        <v>0.2</v>
      </c>
      <c r="H43" s="17">
        <f t="shared" si="12"/>
        <v>-140</v>
      </c>
      <c r="I43" s="17">
        <f t="shared" si="13"/>
        <v>84</v>
      </c>
      <c r="J43" s="6">
        <f t="shared" si="14"/>
        <v>480</v>
      </c>
      <c r="K43" s="6">
        <v>0.3</v>
      </c>
      <c r="L43" s="6">
        <f t="shared" si="15"/>
        <v>-80</v>
      </c>
      <c r="M43" s="6">
        <f t="shared" si="16"/>
        <v>144</v>
      </c>
      <c r="N43" s="20">
        <f t="shared" si="17"/>
        <v>540</v>
      </c>
      <c r="O43" s="20">
        <v>0.4</v>
      </c>
      <c r="P43" s="20">
        <f t="shared" si="18"/>
        <v>-20</v>
      </c>
      <c r="Q43" s="20">
        <f t="shared" si="19"/>
        <v>216</v>
      </c>
      <c r="R43" s="23">
        <f t="shared" si="20"/>
        <v>600</v>
      </c>
      <c r="S43" s="23">
        <v>0.5</v>
      </c>
      <c r="T43" s="23">
        <f t="shared" si="21"/>
        <v>40</v>
      </c>
      <c r="U43" s="23">
        <f t="shared" si="22"/>
        <v>300</v>
      </c>
      <c r="V43" s="7">
        <v>100</v>
      </c>
      <c r="W43" s="8">
        <f t="shared" si="23"/>
        <v>400</v>
      </c>
    </row>
    <row r="44" spans="1:23" x14ac:dyDescent="0.3">
      <c r="A44" s="24">
        <v>225</v>
      </c>
      <c r="B44" s="24" t="s">
        <v>44</v>
      </c>
      <c r="C44" s="7" t="s">
        <v>85</v>
      </c>
      <c r="D44" s="24">
        <v>265</v>
      </c>
      <c r="E44" s="5">
        <v>320</v>
      </c>
      <c r="F44" s="17">
        <f>Table1[[#This Row],[KPI-1]]*70/100</f>
        <v>224</v>
      </c>
      <c r="G44" s="17">
        <v>0.2</v>
      </c>
      <c r="H44" s="17">
        <f t="shared" si="12"/>
        <v>-41</v>
      </c>
      <c r="I44" s="17">
        <f t="shared" si="13"/>
        <v>44.800000000000004</v>
      </c>
      <c r="J44" s="6">
        <f t="shared" si="14"/>
        <v>256</v>
      </c>
      <c r="K44" s="6">
        <v>0.3</v>
      </c>
      <c r="L44" s="6">
        <f t="shared" si="15"/>
        <v>-9</v>
      </c>
      <c r="M44" s="6">
        <f t="shared" si="16"/>
        <v>76.8</v>
      </c>
      <c r="N44" s="20">
        <f t="shared" si="17"/>
        <v>288</v>
      </c>
      <c r="O44" s="20">
        <v>0.4</v>
      </c>
      <c r="P44" s="20">
        <f t="shared" si="18"/>
        <v>23</v>
      </c>
      <c r="Q44" s="20">
        <f t="shared" si="19"/>
        <v>115.2</v>
      </c>
      <c r="R44" s="23">
        <f t="shared" si="20"/>
        <v>320</v>
      </c>
      <c r="S44" s="23">
        <v>0.5</v>
      </c>
      <c r="T44" s="23">
        <f t="shared" si="21"/>
        <v>55</v>
      </c>
      <c r="U44" s="23">
        <f t="shared" si="22"/>
        <v>160</v>
      </c>
      <c r="V44" s="7">
        <v>100</v>
      </c>
      <c r="W44" s="8">
        <f t="shared" si="23"/>
        <v>260</v>
      </c>
    </row>
    <row r="45" spans="1:23" x14ac:dyDescent="0.3">
      <c r="A45" s="24">
        <v>106</v>
      </c>
      <c r="B45" s="24" t="s">
        <v>45</v>
      </c>
      <c r="C45" s="7" t="s">
        <v>45</v>
      </c>
      <c r="D45" s="24">
        <v>201</v>
      </c>
      <c r="E45" s="5">
        <v>250</v>
      </c>
      <c r="F45" s="17">
        <f>Table1[[#This Row],[KPI-1]]*70/100</f>
        <v>175</v>
      </c>
      <c r="G45" s="17">
        <v>0.2</v>
      </c>
      <c r="H45" s="17">
        <f t="shared" si="12"/>
        <v>-26</v>
      </c>
      <c r="I45" s="17">
        <f t="shared" si="13"/>
        <v>35</v>
      </c>
      <c r="J45" s="6">
        <f t="shared" si="14"/>
        <v>200</v>
      </c>
      <c r="K45" s="6">
        <v>0.3</v>
      </c>
      <c r="L45" s="6">
        <f t="shared" si="15"/>
        <v>-1</v>
      </c>
      <c r="M45" s="6">
        <f t="shared" si="16"/>
        <v>60</v>
      </c>
      <c r="N45" s="20">
        <f t="shared" si="17"/>
        <v>225</v>
      </c>
      <c r="O45" s="20">
        <v>0.4</v>
      </c>
      <c r="P45" s="20">
        <f t="shared" si="18"/>
        <v>24</v>
      </c>
      <c r="Q45" s="20">
        <f t="shared" si="19"/>
        <v>90</v>
      </c>
      <c r="R45" s="23">
        <f t="shared" si="20"/>
        <v>250</v>
      </c>
      <c r="S45" s="23">
        <v>0.5</v>
      </c>
      <c r="T45" s="23">
        <f t="shared" si="21"/>
        <v>49</v>
      </c>
      <c r="U45" s="23">
        <f t="shared" si="22"/>
        <v>125</v>
      </c>
      <c r="V45" s="7">
        <v>100</v>
      </c>
      <c r="W45" s="8">
        <f t="shared" si="23"/>
        <v>225</v>
      </c>
    </row>
    <row r="46" spans="1:23" x14ac:dyDescent="0.3">
      <c r="A46" s="24">
        <v>42</v>
      </c>
      <c r="B46" s="24" t="s">
        <v>46</v>
      </c>
      <c r="C46" s="7" t="s">
        <v>81</v>
      </c>
      <c r="D46" s="24">
        <v>164</v>
      </c>
      <c r="E46" s="5">
        <v>230</v>
      </c>
      <c r="F46" s="17">
        <f>Table1[[#This Row],[KPI-1]]*70/100</f>
        <v>161</v>
      </c>
      <c r="G46" s="17">
        <v>0.2</v>
      </c>
      <c r="H46" s="17">
        <f t="shared" si="12"/>
        <v>-3</v>
      </c>
      <c r="I46" s="17">
        <f t="shared" si="13"/>
        <v>32.200000000000003</v>
      </c>
      <c r="J46" s="6">
        <f t="shared" si="14"/>
        <v>184</v>
      </c>
      <c r="K46" s="6">
        <v>0.3</v>
      </c>
      <c r="L46" s="6">
        <f t="shared" si="15"/>
        <v>20</v>
      </c>
      <c r="M46" s="6">
        <f t="shared" si="16"/>
        <v>55.199999999999996</v>
      </c>
      <c r="N46" s="20">
        <f t="shared" si="17"/>
        <v>207</v>
      </c>
      <c r="O46" s="20">
        <v>0.4</v>
      </c>
      <c r="P46" s="20">
        <f t="shared" si="18"/>
        <v>43</v>
      </c>
      <c r="Q46" s="20">
        <f t="shared" si="19"/>
        <v>82.800000000000011</v>
      </c>
      <c r="R46" s="23">
        <f t="shared" si="20"/>
        <v>230</v>
      </c>
      <c r="S46" s="23">
        <v>0.5</v>
      </c>
      <c r="T46" s="23">
        <f t="shared" si="21"/>
        <v>66</v>
      </c>
      <c r="U46" s="23">
        <f t="shared" si="22"/>
        <v>115</v>
      </c>
      <c r="V46" s="7">
        <v>100</v>
      </c>
      <c r="W46" s="8">
        <f t="shared" si="23"/>
        <v>215</v>
      </c>
    </row>
    <row r="47" spans="1:23" x14ac:dyDescent="0.3">
      <c r="A47" s="24">
        <v>176</v>
      </c>
      <c r="B47" s="24" t="s">
        <v>47</v>
      </c>
      <c r="C47" s="7" t="s">
        <v>45</v>
      </c>
      <c r="D47" s="24">
        <v>99</v>
      </c>
      <c r="E47" s="5">
        <v>150</v>
      </c>
      <c r="F47" s="17">
        <f>Table1[[#This Row],[KPI-1]]*70/100</f>
        <v>105</v>
      </c>
      <c r="G47" s="17">
        <v>0.2</v>
      </c>
      <c r="H47" s="17">
        <f t="shared" si="12"/>
        <v>6</v>
      </c>
      <c r="I47" s="17">
        <f t="shared" si="13"/>
        <v>21</v>
      </c>
      <c r="J47" s="6">
        <f t="shared" si="14"/>
        <v>120</v>
      </c>
      <c r="K47" s="6">
        <v>0.3</v>
      </c>
      <c r="L47" s="6">
        <f t="shared" si="15"/>
        <v>21</v>
      </c>
      <c r="M47" s="6">
        <f t="shared" si="16"/>
        <v>36</v>
      </c>
      <c r="N47" s="20">
        <f t="shared" si="17"/>
        <v>135</v>
      </c>
      <c r="O47" s="20">
        <v>0.4</v>
      </c>
      <c r="P47" s="20">
        <f t="shared" si="18"/>
        <v>36</v>
      </c>
      <c r="Q47" s="20">
        <f t="shared" si="19"/>
        <v>54</v>
      </c>
      <c r="R47" s="23">
        <f t="shared" si="20"/>
        <v>150</v>
      </c>
      <c r="S47" s="23">
        <v>0.5</v>
      </c>
      <c r="T47" s="23">
        <f t="shared" si="21"/>
        <v>51</v>
      </c>
      <c r="U47" s="23">
        <f t="shared" si="22"/>
        <v>75</v>
      </c>
      <c r="V47" s="7">
        <v>100</v>
      </c>
      <c r="W47" s="8">
        <f t="shared" si="23"/>
        <v>175</v>
      </c>
    </row>
    <row r="48" spans="1:23" x14ac:dyDescent="0.3">
      <c r="A48" s="24">
        <v>172</v>
      </c>
      <c r="B48" s="24" t="s">
        <v>48</v>
      </c>
      <c r="C48" s="7" t="s">
        <v>88</v>
      </c>
      <c r="D48" s="24">
        <v>159</v>
      </c>
      <c r="E48" s="5">
        <v>210</v>
      </c>
      <c r="F48" s="17">
        <f>Table1[[#This Row],[KPI-1]]*70/100</f>
        <v>147</v>
      </c>
      <c r="G48" s="17">
        <v>0.2</v>
      </c>
      <c r="H48" s="17">
        <f t="shared" si="12"/>
        <v>-12</v>
      </c>
      <c r="I48" s="17">
        <f t="shared" si="13"/>
        <v>29.400000000000002</v>
      </c>
      <c r="J48" s="6">
        <f t="shared" si="14"/>
        <v>168</v>
      </c>
      <c r="K48" s="6">
        <v>0.3</v>
      </c>
      <c r="L48" s="6">
        <f t="shared" si="15"/>
        <v>9</v>
      </c>
      <c r="M48" s="6">
        <f t="shared" si="16"/>
        <v>50.4</v>
      </c>
      <c r="N48" s="20">
        <f t="shared" si="17"/>
        <v>189</v>
      </c>
      <c r="O48" s="20">
        <v>0.4</v>
      </c>
      <c r="P48" s="20">
        <f t="shared" si="18"/>
        <v>30</v>
      </c>
      <c r="Q48" s="20">
        <f t="shared" si="19"/>
        <v>75.600000000000009</v>
      </c>
      <c r="R48" s="23">
        <f t="shared" si="20"/>
        <v>210</v>
      </c>
      <c r="S48" s="23">
        <v>0.5</v>
      </c>
      <c r="T48" s="23">
        <f t="shared" si="21"/>
        <v>51</v>
      </c>
      <c r="U48" s="23">
        <f t="shared" si="22"/>
        <v>105</v>
      </c>
      <c r="V48" s="7">
        <v>100</v>
      </c>
      <c r="W48" s="8">
        <f t="shared" si="23"/>
        <v>205</v>
      </c>
    </row>
    <row r="49" spans="1:23" x14ac:dyDescent="0.3">
      <c r="A49" s="24">
        <v>94</v>
      </c>
      <c r="B49" s="24" t="s">
        <v>49</v>
      </c>
      <c r="C49" s="7" t="s">
        <v>83</v>
      </c>
      <c r="D49" s="24">
        <v>527</v>
      </c>
      <c r="E49" s="5">
        <v>580</v>
      </c>
      <c r="F49" s="17">
        <f>Table1[[#This Row],[KPI-1]]*70/100</f>
        <v>406</v>
      </c>
      <c r="G49" s="17">
        <v>0.2</v>
      </c>
      <c r="H49" s="17">
        <f t="shared" si="12"/>
        <v>-121</v>
      </c>
      <c r="I49" s="17">
        <f t="shared" si="13"/>
        <v>81.2</v>
      </c>
      <c r="J49" s="6">
        <f t="shared" si="14"/>
        <v>464</v>
      </c>
      <c r="K49" s="6">
        <v>0.3</v>
      </c>
      <c r="L49" s="6">
        <f t="shared" si="15"/>
        <v>-63</v>
      </c>
      <c r="M49" s="6">
        <f t="shared" si="16"/>
        <v>139.19999999999999</v>
      </c>
      <c r="N49" s="20">
        <f t="shared" si="17"/>
        <v>522</v>
      </c>
      <c r="O49" s="20">
        <v>0.4</v>
      </c>
      <c r="P49" s="20">
        <f t="shared" si="18"/>
        <v>-5</v>
      </c>
      <c r="Q49" s="20">
        <f t="shared" si="19"/>
        <v>208.8</v>
      </c>
      <c r="R49" s="23">
        <f t="shared" si="20"/>
        <v>580</v>
      </c>
      <c r="S49" s="23">
        <v>0.5</v>
      </c>
      <c r="T49" s="23">
        <f t="shared" si="21"/>
        <v>53</v>
      </c>
      <c r="U49" s="23">
        <f t="shared" si="22"/>
        <v>290</v>
      </c>
      <c r="V49" s="7">
        <v>100</v>
      </c>
      <c r="W49" s="8">
        <f t="shared" si="23"/>
        <v>390</v>
      </c>
    </row>
    <row r="50" spans="1:23" x14ac:dyDescent="0.3">
      <c r="A50" s="24">
        <v>148</v>
      </c>
      <c r="B50" s="24" t="s">
        <v>50</v>
      </c>
      <c r="C50" s="7" t="s">
        <v>85</v>
      </c>
      <c r="D50" s="24">
        <v>462</v>
      </c>
      <c r="E50" s="5">
        <v>550</v>
      </c>
      <c r="F50" s="17">
        <f>Table1[[#This Row],[KPI-1]]*70/100</f>
        <v>385</v>
      </c>
      <c r="G50" s="17">
        <v>0.2</v>
      </c>
      <c r="H50" s="17">
        <f t="shared" si="12"/>
        <v>-77</v>
      </c>
      <c r="I50" s="17">
        <f t="shared" si="13"/>
        <v>77</v>
      </c>
      <c r="J50" s="6">
        <f t="shared" si="14"/>
        <v>440</v>
      </c>
      <c r="K50" s="6">
        <v>0.3</v>
      </c>
      <c r="L50" s="6">
        <f t="shared" si="15"/>
        <v>-22</v>
      </c>
      <c r="M50" s="6">
        <f t="shared" si="16"/>
        <v>132</v>
      </c>
      <c r="N50" s="20">
        <f t="shared" si="17"/>
        <v>495</v>
      </c>
      <c r="O50" s="20">
        <v>0.4</v>
      </c>
      <c r="P50" s="20">
        <f t="shared" si="18"/>
        <v>33</v>
      </c>
      <c r="Q50" s="20">
        <f t="shared" si="19"/>
        <v>198</v>
      </c>
      <c r="R50" s="23">
        <f t="shared" si="20"/>
        <v>550</v>
      </c>
      <c r="S50" s="23">
        <v>0.5</v>
      </c>
      <c r="T50" s="23">
        <f t="shared" si="21"/>
        <v>88</v>
      </c>
      <c r="U50" s="23">
        <f t="shared" si="22"/>
        <v>275</v>
      </c>
      <c r="V50" s="7">
        <v>100</v>
      </c>
      <c r="W50" s="8">
        <f t="shared" si="23"/>
        <v>375</v>
      </c>
    </row>
    <row r="51" spans="1:23" x14ac:dyDescent="0.3">
      <c r="A51" s="24">
        <v>147</v>
      </c>
      <c r="B51" s="24" t="s">
        <v>51</v>
      </c>
      <c r="C51" s="7" t="s">
        <v>87</v>
      </c>
      <c r="D51" s="24">
        <v>331</v>
      </c>
      <c r="E51" s="5">
        <v>240</v>
      </c>
      <c r="F51" s="17">
        <f>Table1[[#This Row],[KPI-1]]*70/100</f>
        <v>168</v>
      </c>
      <c r="G51" s="17">
        <v>0.2</v>
      </c>
      <c r="H51" s="17">
        <f t="shared" si="12"/>
        <v>-163</v>
      </c>
      <c r="I51" s="17">
        <f t="shared" si="13"/>
        <v>33.6</v>
      </c>
      <c r="J51" s="6">
        <f t="shared" si="14"/>
        <v>192</v>
      </c>
      <c r="K51" s="6">
        <v>0.3</v>
      </c>
      <c r="L51" s="6">
        <f t="shared" si="15"/>
        <v>-139</v>
      </c>
      <c r="M51" s="6">
        <f t="shared" si="16"/>
        <v>57.599999999999994</v>
      </c>
      <c r="N51" s="20">
        <f t="shared" si="17"/>
        <v>216</v>
      </c>
      <c r="O51" s="20">
        <v>0.4</v>
      </c>
      <c r="P51" s="20">
        <f t="shared" si="18"/>
        <v>-115</v>
      </c>
      <c r="Q51" s="20">
        <f t="shared" si="19"/>
        <v>86.4</v>
      </c>
      <c r="R51" s="23">
        <f t="shared" si="20"/>
        <v>240</v>
      </c>
      <c r="S51" s="23">
        <v>0.5</v>
      </c>
      <c r="T51" s="23">
        <f t="shared" si="21"/>
        <v>-91</v>
      </c>
      <c r="U51" s="23">
        <f t="shared" si="22"/>
        <v>120</v>
      </c>
      <c r="V51" s="7">
        <v>100</v>
      </c>
      <c r="W51" s="8">
        <f t="shared" si="23"/>
        <v>220</v>
      </c>
    </row>
    <row r="52" spans="1:23" x14ac:dyDescent="0.3">
      <c r="A52" s="24">
        <v>65</v>
      </c>
      <c r="B52" s="24" t="s">
        <v>52</v>
      </c>
      <c r="C52" s="7" t="s">
        <v>88</v>
      </c>
      <c r="D52" s="24">
        <v>93</v>
      </c>
      <c r="E52" s="5">
        <v>150</v>
      </c>
      <c r="F52" s="17">
        <f>Table1[[#This Row],[KPI-1]]*70/100</f>
        <v>105</v>
      </c>
      <c r="G52" s="17">
        <v>0.2</v>
      </c>
      <c r="H52" s="17">
        <f t="shared" si="12"/>
        <v>12</v>
      </c>
      <c r="I52" s="17">
        <f t="shared" si="13"/>
        <v>21</v>
      </c>
      <c r="J52" s="6">
        <f t="shared" si="14"/>
        <v>120</v>
      </c>
      <c r="K52" s="6">
        <v>0.3</v>
      </c>
      <c r="L52" s="6">
        <f t="shared" si="15"/>
        <v>27</v>
      </c>
      <c r="M52" s="6">
        <f t="shared" si="16"/>
        <v>36</v>
      </c>
      <c r="N52" s="20">
        <f t="shared" si="17"/>
        <v>135</v>
      </c>
      <c r="O52" s="20">
        <v>0.4</v>
      </c>
      <c r="P52" s="20">
        <f t="shared" si="18"/>
        <v>42</v>
      </c>
      <c r="Q52" s="20">
        <f t="shared" si="19"/>
        <v>54</v>
      </c>
      <c r="R52" s="23">
        <f t="shared" si="20"/>
        <v>150</v>
      </c>
      <c r="S52" s="23">
        <v>0.5</v>
      </c>
      <c r="T52" s="23">
        <f t="shared" si="21"/>
        <v>57</v>
      </c>
      <c r="U52" s="23">
        <f t="shared" si="22"/>
        <v>75</v>
      </c>
      <c r="V52" s="7">
        <v>100</v>
      </c>
      <c r="W52" s="8">
        <f t="shared" si="23"/>
        <v>175</v>
      </c>
    </row>
    <row r="53" spans="1:23" x14ac:dyDescent="0.3">
      <c r="A53" s="24">
        <v>144</v>
      </c>
      <c r="B53" s="24" t="s">
        <v>53</v>
      </c>
      <c r="C53" s="7" t="s">
        <v>88</v>
      </c>
      <c r="D53" s="24">
        <v>136</v>
      </c>
      <c r="E53" s="5">
        <v>200</v>
      </c>
      <c r="F53" s="17">
        <f>Table1[[#This Row],[KPI-1]]*70/100</f>
        <v>140</v>
      </c>
      <c r="G53" s="17">
        <v>0.2</v>
      </c>
      <c r="H53" s="17">
        <f t="shared" si="12"/>
        <v>4</v>
      </c>
      <c r="I53" s="17">
        <f t="shared" si="13"/>
        <v>28</v>
      </c>
      <c r="J53" s="6">
        <f t="shared" si="14"/>
        <v>160</v>
      </c>
      <c r="K53" s="6">
        <v>0.3</v>
      </c>
      <c r="L53" s="6">
        <f t="shared" si="15"/>
        <v>24</v>
      </c>
      <c r="M53" s="6">
        <f t="shared" si="16"/>
        <v>48</v>
      </c>
      <c r="N53" s="20">
        <f t="shared" si="17"/>
        <v>180</v>
      </c>
      <c r="O53" s="20">
        <v>0.4</v>
      </c>
      <c r="P53" s="20">
        <f t="shared" si="18"/>
        <v>44</v>
      </c>
      <c r="Q53" s="20">
        <f t="shared" si="19"/>
        <v>72</v>
      </c>
      <c r="R53" s="23">
        <f t="shared" si="20"/>
        <v>200</v>
      </c>
      <c r="S53" s="23">
        <v>0.5</v>
      </c>
      <c r="T53" s="23">
        <f t="shared" si="21"/>
        <v>64</v>
      </c>
      <c r="U53" s="23">
        <f t="shared" si="22"/>
        <v>100</v>
      </c>
      <c r="V53" s="7">
        <v>100</v>
      </c>
      <c r="W53" s="8">
        <f t="shared" si="23"/>
        <v>200</v>
      </c>
    </row>
    <row r="54" spans="1:23" x14ac:dyDescent="0.3">
      <c r="A54" s="24">
        <v>181</v>
      </c>
      <c r="B54" s="24" t="s">
        <v>54</v>
      </c>
      <c r="C54" s="7" t="s">
        <v>83</v>
      </c>
      <c r="D54" s="24">
        <v>186</v>
      </c>
      <c r="E54" s="5">
        <v>230</v>
      </c>
      <c r="F54" s="17">
        <f>Table1[[#This Row],[KPI-1]]*70/100</f>
        <v>161</v>
      </c>
      <c r="G54" s="17">
        <v>0.2</v>
      </c>
      <c r="H54" s="17">
        <f t="shared" si="12"/>
        <v>-25</v>
      </c>
      <c r="I54" s="17">
        <f t="shared" si="13"/>
        <v>32.200000000000003</v>
      </c>
      <c r="J54" s="6">
        <f t="shared" si="14"/>
        <v>184</v>
      </c>
      <c r="K54" s="6">
        <v>0.3</v>
      </c>
      <c r="L54" s="6">
        <f t="shared" si="15"/>
        <v>-2</v>
      </c>
      <c r="M54" s="6">
        <f t="shared" si="16"/>
        <v>55.199999999999996</v>
      </c>
      <c r="N54" s="20">
        <f t="shared" si="17"/>
        <v>207</v>
      </c>
      <c r="O54" s="20">
        <v>0.4</v>
      </c>
      <c r="P54" s="20">
        <f t="shared" si="18"/>
        <v>21</v>
      </c>
      <c r="Q54" s="20">
        <f t="shared" si="19"/>
        <v>82.800000000000011</v>
      </c>
      <c r="R54" s="23">
        <f t="shared" si="20"/>
        <v>230</v>
      </c>
      <c r="S54" s="23">
        <v>0.5</v>
      </c>
      <c r="T54" s="23">
        <f t="shared" si="21"/>
        <v>44</v>
      </c>
      <c r="U54" s="23">
        <f t="shared" si="22"/>
        <v>115</v>
      </c>
      <c r="V54" s="7">
        <v>100</v>
      </c>
      <c r="W54" s="8">
        <f t="shared" si="23"/>
        <v>215</v>
      </c>
    </row>
    <row r="55" spans="1:23" x14ac:dyDescent="0.3">
      <c r="A55" s="24">
        <v>218</v>
      </c>
      <c r="B55" s="24" t="s">
        <v>55</v>
      </c>
      <c r="C55" s="7" t="s">
        <v>84</v>
      </c>
      <c r="D55" s="24">
        <v>125</v>
      </c>
      <c r="E55" s="5">
        <v>200</v>
      </c>
      <c r="F55" s="17">
        <f>Table1[[#This Row],[KPI-1]]*70/100</f>
        <v>140</v>
      </c>
      <c r="G55" s="17">
        <v>0.2</v>
      </c>
      <c r="H55" s="17">
        <f t="shared" si="12"/>
        <v>15</v>
      </c>
      <c r="I55" s="17">
        <f t="shared" si="13"/>
        <v>28</v>
      </c>
      <c r="J55" s="6">
        <f t="shared" si="14"/>
        <v>160</v>
      </c>
      <c r="K55" s="6">
        <v>0.3</v>
      </c>
      <c r="L55" s="6">
        <f t="shared" si="15"/>
        <v>35</v>
      </c>
      <c r="M55" s="6">
        <f t="shared" si="16"/>
        <v>48</v>
      </c>
      <c r="N55" s="20">
        <f t="shared" si="17"/>
        <v>180</v>
      </c>
      <c r="O55" s="20">
        <v>0.4</v>
      </c>
      <c r="P55" s="20">
        <f t="shared" si="18"/>
        <v>55</v>
      </c>
      <c r="Q55" s="20">
        <f t="shared" si="19"/>
        <v>72</v>
      </c>
      <c r="R55" s="23">
        <f t="shared" si="20"/>
        <v>200</v>
      </c>
      <c r="S55" s="23">
        <v>0.5</v>
      </c>
      <c r="T55" s="23">
        <f t="shared" si="21"/>
        <v>75</v>
      </c>
      <c r="U55" s="23">
        <f t="shared" si="22"/>
        <v>100</v>
      </c>
      <c r="V55" s="7">
        <v>100</v>
      </c>
      <c r="W55" s="8">
        <f t="shared" si="23"/>
        <v>200</v>
      </c>
    </row>
    <row r="56" spans="1:23" x14ac:dyDescent="0.3">
      <c r="A56" s="24">
        <v>134</v>
      </c>
      <c r="B56" s="24" t="s">
        <v>56</v>
      </c>
      <c r="C56" s="7" t="s">
        <v>82</v>
      </c>
      <c r="D56" s="24">
        <v>277</v>
      </c>
      <c r="E56" s="5">
        <v>320</v>
      </c>
      <c r="F56" s="17">
        <f>Table1[[#This Row],[KPI-1]]*70/100</f>
        <v>224</v>
      </c>
      <c r="G56" s="17">
        <v>0.2</v>
      </c>
      <c r="H56" s="17">
        <f t="shared" si="12"/>
        <v>-53</v>
      </c>
      <c r="I56" s="17">
        <f t="shared" si="13"/>
        <v>44.800000000000004</v>
      </c>
      <c r="J56" s="6">
        <f t="shared" si="14"/>
        <v>256</v>
      </c>
      <c r="K56" s="6">
        <v>0.3</v>
      </c>
      <c r="L56" s="6">
        <f t="shared" si="15"/>
        <v>-21</v>
      </c>
      <c r="M56" s="6">
        <f t="shared" si="16"/>
        <v>76.8</v>
      </c>
      <c r="N56" s="20">
        <f t="shared" si="17"/>
        <v>288</v>
      </c>
      <c r="O56" s="20">
        <v>0.4</v>
      </c>
      <c r="P56" s="20">
        <f t="shared" si="18"/>
        <v>11</v>
      </c>
      <c r="Q56" s="20">
        <f t="shared" si="19"/>
        <v>115.2</v>
      </c>
      <c r="R56" s="23">
        <f t="shared" si="20"/>
        <v>320</v>
      </c>
      <c r="S56" s="23">
        <v>0.5</v>
      </c>
      <c r="T56" s="23">
        <f t="shared" si="21"/>
        <v>43</v>
      </c>
      <c r="U56" s="23">
        <f t="shared" si="22"/>
        <v>160</v>
      </c>
      <c r="V56" s="7">
        <v>100</v>
      </c>
      <c r="W56" s="8">
        <f t="shared" si="23"/>
        <v>260</v>
      </c>
    </row>
    <row r="57" spans="1:23" x14ac:dyDescent="0.3">
      <c r="A57" s="24">
        <v>135</v>
      </c>
      <c r="B57" s="24" t="s">
        <v>57</v>
      </c>
      <c r="C57" s="7" t="s">
        <v>82</v>
      </c>
      <c r="D57" s="24">
        <v>160</v>
      </c>
      <c r="E57" s="5">
        <v>220</v>
      </c>
      <c r="F57" s="17">
        <f>Table1[[#This Row],[KPI-1]]*70/100</f>
        <v>154</v>
      </c>
      <c r="G57" s="17">
        <v>0.2</v>
      </c>
      <c r="H57" s="17">
        <f t="shared" si="12"/>
        <v>-6</v>
      </c>
      <c r="I57" s="17">
        <f t="shared" si="13"/>
        <v>30.8</v>
      </c>
      <c r="J57" s="6">
        <f t="shared" si="14"/>
        <v>176</v>
      </c>
      <c r="K57" s="6">
        <v>0.3</v>
      </c>
      <c r="L57" s="6">
        <f t="shared" si="15"/>
        <v>16</v>
      </c>
      <c r="M57" s="6">
        <f t="shared" si="16"/>
        <v>52.8</v>
      </c>
      <c r="N57" s="20">
        <f t="shared" si="17"/>
        <v>198</v>
      </c>
      <c r="O57" s="20">
        <v>0.4</v>
      </c>
      <c r="P57" s="20">
        <f t="shared" si="18"/>
        <v>38</v>
      </c>
      <c r="Q57" s="20">
        <f t="shared" si="19"/>
        <v>79.2</v>
      </c>
      <c r="R57" s="23">
        <f t="shared" si="20"/>
        <v>220</v>
      </c>
      <c r="S57" s="23">
        <v>0.5</v>
      </c>
      <c r="T57" s="23">
        <f t="shared" si="21"/>
        <v>60</v>
      </c>
      <c r="U57" s="23">
        <f t="shared" si="22"/>
        <v>110</v>
      </c>
      <c r="V57" s="7">
        <v>100</v>
      </c>
      <c r="W57" s="8">
        <f t="shared" si="23"/>
        <v>210</v>
      </c>
    </row>
    <row r="58" spans="1:23" x14ac:dyDescent="0.3">
      <c r="A58" s="24">
        <v>151</v>
      </c>
      <c r="B58" s="24" t="s">
        <v>58</v>
      </c>
      <c r="C58" s="7" t="s">
        <v>82</v>
      </c>
      <c r="D58" s="24">
        <v>260</v>
      </c>
      <c r="E58" s="5">
        <v>310</v>
      </c>
      <c r="F58" s="17">
        <f>Table1[[#This Row],[KPI-1]]*70/100</f>
        <v>217</v>
      </c>
      <c r="G58" s="17">
        <v>0.2</v>
      </c>
      <c r="H58" s="17">
        <f t="shared" si="12"/>
        <v>-43</v>
      </c>
      <c r="I58" s="17">
        <f t="shared" si="13"/>
        <v>43.400000000000006</v>
      </c>
      <c r="J58" s="6">
        <f t="shared" si="14"/>
        <v>248</v>
      </c>
      <c r="K58" s="6">
        <v>0.3</v>
      </c>
      <c r="L58" s="6">
        <f t="shared" si="15"/>
        <v>-12</v>
      </c>
      <c r="M58" s="6">
        <f t="shared" si="16"/>
        <v>74.399999999999991</v>
      </c>
      <c r="N58" s="20">
        <f t="shared" si="17"/>
        <v>279</v>
      </c>
      <c r="O58" s="20">
        <v>0.4</v>
      </c>
      <c r="P58" s="20">
        <f t="shared" si="18"/>
        <v>19</v>
      </c>
      <c r="Q58" s="20">
        <f t="shared" si="19"/>
        <v>111.60000000000001</v>
      </c>
      <c r="R58" s="23">
        <f t="shared" si="20"/>
        <v>310</v>
      </c>
      <c r="S58" s="23">
        <v>0.5</v>
      </c>
      <c r="T58" s="23">
        <f t="shared" si="21"/>
        <v>50</v>
      </c>
      <c r="U58" s="23">
        <f t="shared" si="22"/>
        <v>155</v>
      </c>
      <c r="V58" s="7">
        <v>100</v>
      </c>
      <c r="W58" s="8">
        <f t="shared" si="23"/>
        <v>255</v>
      </c>
    </row>
    <row r="59" spans="1:23" x14ac:dyDescent="0.3">
      <c r="A59" s="24">
        <v>152</v>
      </c>
      <c r="B59" s="24" t="s">
        <v>59</v>
      </c>
      <c r="C59" s="7" t="s">
        <v>89</v>
      </c>
      <c r="D59" s="24">
        <v>213</v>
      </c>
      <c r="E59" s="5">
        <v>260</v>
      </c>
      <c r="F59" s="17">
        <f>Table1[[#This Row],[KPI-1]]*70/100</f>
        <v>182</v>
      </c>
      <c r="G59" s="17">
        <v>0.2</v>
      </c>
      <c r="H59" s="17">
        <f t="shared" si="12"/>
        <v>-31</v>
      </c>
      <c r="I59" s="17">
        <f t="shared" si="13"/>
        <v>36.4</v>
      </c>
      <c r="J59" s="6">
        <f t="shared" si="14"/>
        <v>208</v>
      </c>
      <c r="K59" s="6">
        <v>0.3</v>
      </c>
      <c r="L59" s="6">
        <f t="shared" si="15"/>
        <v>-5</v>
      </c>
      <c r="M59" s="6">
        <f t="shared" si="16"/>
        <v>62.4</v>
      </c>
      <c r="N59" s="20">
        <f t="shared" si="17"/>
        <v>234</v>
      </c>
      <c r="O59" s="20">
        <v>0.4</v>
      </c>
      <c r="P59" s="20">
        <f t="shared" si="18"/>
        <v>21</v>
      </c>
      <c r="Q59" s="20">
        <f t="shared" si="19"/>
        <v>93.600000000000009</v>
      </c>
      <c r="R59" s="23">
        <f t="shared" si="20"/>
        <v>260</v>
      </c>
      <c r="S59" s="23">
        <v>0.5</v>
      </c>
      <c r="T59" s="23">
        <f t="shared" si="21"/>
        <v>47</v>
      </c>
      <c r="U59" s="23">
        <f t="shared" si="22"/>
        <v>130</v>
      </c>
      <c r="V59" s="7">
        <v>100</v>
      </c>
      <c r="W59" s="8">
        <f t="shared" si="23"/>
        <v>230</v>
      </c>
    </row>
    <row r="60" spans="1:23" x14ac:dyDescent="0.3">
      <c r="A60" s="24">
        <v>122</v>
      </c>
      <c r="B60" s="24" t="s">
        <v>60</v>
      </c>
      <c r="C60" s="7" t="s">
        <v>83</v>
      </c>
      <c r="D60" s="24">
        <v>72</v>
      </c>
      <c r="E60" s="5">
        <v>100</v>
      </c>
      <c r="F60" s="17">
        <f>Table1[[#This Row],[KPI-1]]*70/100</f>
        <v>70</v>
      </c>
      <c r="G60" s="17">
        <v>0.2</v>
      </c>
      <c r="H60" s="17">
        <f t="shared" si="12"/>
        <v>-2</v>
      </c>
      <c r="I60" s="17">
        <f t="shared" si="13"/>
        <v>14</v>
      </c>
      <c r="J60" s="6">
        <f t="shared" si="14"/>
        <v>80</v>
      </c>
      <c r="K60" s="6">
        <v>0.3</v>
      </c>
      <c r="L60" s="6">
        <f t="shared" si="15"/>
        <v>8</v>
      </c>
      <c r="M60" s="6">
        <f t="shared" si="16"/>
        <v>24</v>
      </c>
      <c r="N60" s="20">
        <f t="shared" si="17"/>
        <v>90</v>
      </c>
      <c r="O60" s="20">
        <v>0.4</v>
      </c>
      <c r="P60" s="20">
        <f t="shared" si="18"/>
        <v>18</v>
      </c>
      <c r="Q60" s="20">
        <f t="shared" si="19"/>
        <v>36</v>
      </c>
      <c r="R60" s="23">
        <f t="shared" si="20"/>
        <v>100</v>
      </c>
      <c r="S60" s="23">
        <v>0.5</v>
      </c>
      <c r="T60" s="23">
        <f t="shared" si="21"/>
        <v>28</v>
      </c>
      <c r="U60" s="23">
        <f t="shared" si="22"/>
        <v>50</v>
      </c>
      <c r="V60" s="7"/>
      <c r="W60" s="8"/>
    </row>
    <row r="61" spans="1:23" x14ac:dyDescent="0.3">
      <c r="A61" s="24">
        <v>175</v>
      </c>
      <c r="B61" s="24" t="s">
        <v>61</v>
      </c>
      <c r="C61" s="7" t="s">
        <v>84</v>
      </c>
      <c r="D61" s="24">
        <v>144</v>
      </c>
      <c r="E61" s="5">
        <v>200</v>
      </c>
      <c r="F61" s="17">
        <f>Table1[[#This Row],[KPI-1]]*70/100</f>
        <v>140</v>
      </c>
      <c r="G61" s="17">
        <v>0.2</v>
      </c>
      <c r="H61" s="17">
        <f t="shared" si="12"/>
        <v>-4</v>
      </c>
      <c r="I61" s="17">
        <f t="shared" si="13"/>
        <v>28</v>
      </c>
      <c r="J61" s="6">
        <f t="shared" si="14"/>
        <v>160</v>
      </c>
      <c r="K61" s="6">
        <v>0.3</v>
      </c>
      <c r="L61" s="6">
        <f t="shared" si="15"/>
        <v>16</v>
      </c>
      <c r="M61" s="6">
        <f t="shared" si="16"/>
        <v>48</v>
      </c>
      <c r="N61" s="20">
        <f t="shared" si="17"/>
        <v>180</v>
      </c>
      <c r="O61" s="20">
        <v>0.4</v>
      </c>
      <c r="P61" s="20">
        <f t="shared" si="18"/>
        <v>36</v>
      </c>
      <c r="Q61" s="20">
        <f t="shared" si="19"/>
        <v>72</v>
      </c>
      <c r="R61" s="23">
        <f t="shared" si="20"/>
        <v>200</v>
      </c>
      <c r="S61" s="23">
        <v>0.5</v>
      </c>
      <c r="T61" s="23">
        <f t="shared" si="21"/>
        <v>56</v>
      </c>
      <c r="U61" s="23">
        <f t="shared" si="22"/>
        <v>100</v>
      </c>
      <c r="V61" s="13"/>
      <c r="W61" s="14"/>
    </row>
    <row r="62" spans="1:23" x14ac:dyDescent="0.3">
      <c r="A62" s="11"/>
      <c r="B62" s="9"/>
      <c r="C62" s="9"/>
      <c r="D62" s="9">
        <f>SUBTOTAL(109,Table1[Prev Act])</f>
        <v>11341</v>
      </c>
      <c r="E62" s="9">
        <f>SUBTOTAL(9,E2:E61)</f>
        <v>14590</v>
      </c>
      <c r="F62" s="9">
        <f>SUBTOTAL(9,F2:F61)</f>
        <v>10213</v>
      </c>
      <c r="G62" s="9"/>
      <c r="H62" s="9"/>
      <c r="I62" s="9"/>
      <c r="J62" s="9">
        <f>SUBTOTAL(9,J2:J61)</f>
        <v>11672</v>
      </c>
      <c r="K62" s="9"/>
      <c r="L62" s="9"/>
      <c r="M62" s="9"/>
      <c r="N62" s="9">
        <f>SUBTOTAL(9,N2:N61)</f>
        <v>13131</v>
      </c>
      <c r="O62" s="9"/>
      <c r="P62" s="9"/>
      <c r="Q62" s="9"/>
      <c r="R62" s="9">
        <f>SUBTOTAL(9,R2:R61)</f>
        <v>14590</v>
      </c>
      <c r="S62" s="9"/>
      <c r="T62" s="9"/>
      <c r="U62" s="9"/>
      <c r="V62" s="9"/>
      <c r="W62" s="10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</dc:creator>
  <cp:lastModifiedBy>anil p</cp:lastModifiedBy>
  <dcterms:created xsi:type="dcterms:W3CDTF">2025-10-31T10:53:51Z</dcterms:created>
  <dcterms:modified xsi:type="dcterms:W3CDTF">2025-12-02T06:31:05Z</dcterms:modified>
</cp:coreProperties>
</file>